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B07EBC7E-34F4-4C9D-9125-0E893006AA6B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" l="1"/>
  <c r="T3" i="3" a="1"/>
  <c r="T3" i="3" s="1"/>
  <c r="T4" i="3" a="1"/>
  <c r="T4" i="3"/>
  <c r="T5" i="3" a="1"/>
  <c r="T5" i="3"/>
  <c r="T6" i="3" a="1"/>
  <c r="T6" i="3"/>
  <c r="T7" i="3" a="1"/>
  <c r="T7" i="3"/>
  <c r="T8" i="3" a="1"/>
  <c r="T8" i="3"/>
  <c r="T9" i="3" a="1"/>
  <c r="T9" i="3"/>
  <c r="T10" i="3" a="1"/>
  <c r="T10" i="3"/>
  <c r="T11" i="3" a="1"/>
  <c r="T11" i="3"/>
  <c r="T12" i="3" a="1"/>
  <c r="T12" i="3"/>
  <c r="T13" i="3" a="1"/>
  <c r="T13" i="3"/>
  <c r="T14" i="3" a="1"/>
  <c r="T14" i="3"/>
  <c r="T15" i="3" a="1"/>
  <c r="T15" i="3"/>
  <c r="T16" i="3" a="1"/>
  <c r="T16" i="3"/>
  <c r="T17" i="3" a="1"/>
  <c r="T17" i="3"/>
  <c r="T18" i="3" a="1"/>
  <c r="T18" i="3"/>
  <c r="T19" i="3" a="1"/>
  <c r="T19" i="3"/>
  <c r="T20" i="3" a="1"/>
  <c r="T20" i="3"/>
  <c r="T21" i="3" a="1"/>
  <c r="T21" i="3"/>
  <c r="T22" i="3" a="1"/>
  <c r="T22" i="3"/>
  <c r="T23" i="3" a="1"/>
  <c r="T23" i="3"/>
  <c r="T24" i="3" a="1"/>
  <c r="T24" i="3"/>
  <c r="T25" i="3" a="1"/>
  <c r="T25" i="3"/>
  <c r="T26" i="3" a="1"/>
  <c r="T26" i="3"/>
  <c r="T27" i="3" a="1"/>
  <c r="T27" i="3"/>
  <c r="T28" i="3" a="1"/>
  <c r="T28" i="3"/>
  <c r="T29" i="3" a="1"/>
  <c r="T29" i="3"/>
  <c r="T30" i="3" a="1"/>
  <c r="T30" i="3"/>
  <c r="T31" i="3" a="1"/>
  <c r="T31" i="3"/>
  <c r="T32" i="3" a="1"/>
  <c r="T32" i="3"/>
  <c r="T33" i="3" a="1"/>
  <c r="T33" i="3"/>
  <c r="T34" i="3" a="1"/>
  <c r="T34" i="3"/>
  <c r="T35" i="3" a="1"/>
  <c r="T35" i="3"/>
  <c r="T36" i="3" a="1"/>
  <c r="T36" i="3"/>
  <c r="T37" i="3" a="1"/>
  <c r="T37" i="3"/>
  <c r="T38" i="3" a="1"/>
  <c r="T38" i="3"/>
  <c r="T39" i="3" a="1"/>
  <c r="T39" i="3"/>
  <c r="T40" i="3" a="1"/>
  <c r="T40" i="3"/>
  <c r="T41" i="3" a="1"/>
  <c r="T41" i="3"/>
  <c r="T42" i="3" a="1"/>
  <c r="T42" i="3"/>
  <c r="T43" i="3" a="1"/>
  <c r="T43" i="3"/>
  <c r="T44" i="3" a="1"/>
  <c r="T44" i="3"/>
  <c r="T45" i="3" a="1"/>
  <c r="T45" i="3"/>
  <c r="T46" i="3" a="1"/>
  <c r="T46" i="3"/>
  <c r="T47" i="3" a="1"/>
  <c r="T47" i="3"/>
  <c r="T48" i="3" a="1"/>
  <c r="T48" i="3"/>
  <c r="T49" i="3" a="1"/>
  <c r="T49" i="3"/>
  <c r="T50" i="3" a="1"/>
  <c r="T50" i="3"/>
  <c r="T51" i="3" a="1"/>
  <c r="T51" i="3"/>
  <c r="T52" i="3" a="1"/>
  <c r="T52" i="3"/>
  <c r="T53" i="3" a="1"/>
  <c r="T53" i="3"/>
  <c r="T54" i="3" a="1"/>
  <c r="T54" i="3"/>
  <c r="T55" i="3" a="1"/>
  <c r="T55" i="3"/>
  <c r="T56" i="3" a="1"/>
  <c r="T56" i="3"/>
  <c r="T57" i="3" a="1"/>
  <c r="T57" i="3"/>
  <c r="T58" i="3" a="1"/>
  <c r="T58" i="3"/>
  <c r="T59" i="3" a="1"/>
  <c r="T59" i="3"/>
  <c r="T60" i="3" a="1"/>
  <c r="T60" i="3"/>
  <c r="T61" i="3" a="1"/>
  <c r="T61" i="3"/>
  <c r="T62" i="3" a="1"/>
  <c r="T62" i="3"/>
  <c r="T63" i="3" a="1"/>
  <c r="T63" i="3"/>
  <c r="T64" i="3" a="1"/>
  <c r="T64" i="3"/>
  <c r="T65" i="3" a="1"/>
  <c r="T65" i="3"/>
  <c r="T66" i="3" a="1"/>
  <c r="T66" i="3"/>
  <c r="T67" i="3" a="1"/>
  <c r="T67" i="3"/>
  <c r="T68" i="3" a="1"/>
  <c r="T68" i="3"/>
  <c r="T69" i="3" a="1"/>
  <c r="T69" i="3"/>
  <c r="T70" i="3" a="1"/>
  <c r="T70" i="3"/>
  <c r="T71" i="3" a="1"/>
  <c r="T71" i="3"/>
  <c r="T72" i="3" a="1"/>
  <c r="T72" i="3"/>
  <c r="T73" i="3" a="1"/>
  <c r="T73" i="3"/>
  <c r="T74" i="3" a="1"/>
  <c r="T74" i="3"/>
  <c r="T75" i="3" a="1"/>
  <c r="T75" i="3"/>
  <c r="T76" i="3" a="1"/>
  <c r="T76" i="3"/>
  <c r="T77" i="3" a="1"/>
  <c r="T77" i="3"/>
  <c r="T78" i="3" a="1"/>
  <c r="T78" i="3"/>
  <c r="T79" i="3" a="1"/>
  <c r="T79" i="3"/>
  <c r="T80" i="3" a="1"/>
  <c r="T80" i="3"/>
  <c r="T81" i="3" a="1"/>
  <c r="T81" i="3"/>
  <c r="T82" i="3" a="1"/>
  <c r="T82" i="3"/>
  <c r="T83" i="3" a="1"/>
  <c r="T83" i="3"/>
  <c r="T84" i="3" a="1"/>
  <c r="T84" i="3"/>
  <c r="T85" i="3" a="1"/>
  <c r="T85" i="3"/>
  <c r="T86" i="3" a="1"/>
  <c r="T86" i="3"/>
  <c r="T87" i="3" a="1"/>
  <c r="T87" i="3"/>
  <c r="T88" i="3" a="1"/>
  <c r="T88" i="3"/>
  <c r="T89" i="3" a="1"/>
  <c r="T89" i="3"/>
  <c r="T90" i="3" a="1"/>
  <c r="T90" i="3"/>
  <c r="T91" i="3" a="1"/>
  <c r="T91" i="3"/>
  <c r="T92" i="3" a="1"/>
  <c r="T92" i="3"/>
  <c r="T93" i="3" a="1"/>
  <c r="T93" i="3"/>
  <c r="T94" i="3" a="1"/>
  <c r="T94" i="3"/>
  <c r="T95" i="3" a="1"/>
  <c r="T95" i="3"/>
  <c r="T96" i="3" a="1"/>
  <c r="T96" i="3"/>
  <c r="T97" i="3" a="1"/>
  <c r="T97" i="3"/>
  <c r="T98" i="3" a="1"/>
  <c r="T98" i="3"/>
  <c r="T99" i="3" a="1"/>
  <c r="T99" i="3"/>
  <c r="T100" i="3" a="1"/>
  <c r="T100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E12" i="2"/>
  <c r="E10" i="2"/>
  <c r="E13" i="2"/>
  <c r="E11" i="2"/>
  <c r="E8" i="2"/>
  <c r="E7" i="2"/>
  <c r="E6" i="2"/>
  <c r="E5" i="2"/>
  <c r="E4" i="2"/>
  <c r="E21" i="2"/>
  <c r="E20" i="2"/>
  <c r="E19" i="2"/>
  <c r="E18" i="2"/>
  <c r="E17" i="2"/>
  <c r="E16" i="2"/>
  <c r="E15" i="2"/>
  <c r="E14" i="2"/>
  <c r="E3" i="2"/>
  <c r="E2" i="2"/>
  <c r="AG3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K42" i="3" a="1"/>
  <c r="K81" i="3" a="1"/>
  <c r="L87" i="3" a="1"/>
  <c r="K90" i="3" a="1"/>
  <c r="K16" i="3" a="1"/>
  <c r="L67" i="3" a="1"/>
  <c r="L69" i="3" a="1"/>
  <c r="L55" i="3" a="1"/>
  <c r="K37" i="3" a="1"/>
  <c r="K43" i="3" a="1"/>
  <c r="K29" i="3" a="1"/>
  <c r="L35" i="3" a="1"/>
  <c r="L64" i="3" a="1"/>
  <c r="K10" i="3" a="1"/>
  <c r="K20" i="3" a="1"/>
  <c r="K24" i="3" a="1"/>
  <c r="K60" i="3" a="1"/>
  <c r="L4" i="3" a="1"/>
  <c r="K98" i="3" a="1"/>
  <c r="K75" i="3" a="1"/>
  <c r="K92" i="3" a="1"/>
  <c r="L80" i="3" a="1"/>
  <c r="K78" i="3" a="1"/>
  <c r="L32" i="3" a="1"/>
  <c r="K28" i="3" a="1"/>
  <c r="K89" i="3" a="1"/>
  <c r="L15" i="3" a="1"/>
  <c r="L8" i="3" a="1"/>
  <c r="K21" i="3" a="1"/>
  <c r="K40" i="3" a="1"/>
  <c r="K47" i="3" a="1"/>
  <c r="L9" i="3" a="1"/>
  <c r="K31" i="3" a="1"/>
  <c r="L91" i="3" a="1"/>
  <c r="L66" i="3" a="1"/>
  <c r="L26" i="3" a="1"/>
  <c r="L54" i="3" a="1"/>
  <c r="K77" i="3" a="1"/>
  <c r="K86" i="3" a="1"/>
  <c r="L86" i="3" a="1"/>
  <c r="K8" i="3" a="1"/>
  <c r="L17" i="3" a="1"/>
  <c r="K4" i="3" a="1"/>
  <c r="K71" i="3" a="1"/>
  <c r="L37" i="3" a="1"/>
  <c r="L100" i="3" a="1"/>
  <c r="L18" i="3" a="1"/>
  <c r="K44" i="3" a="1"/>
  <c r="K69" i="3" a="1"/>
  <c r="L72" i="3" a="1"/>
  <c r="L28" i="3" a="1"/>
  <c r="K15" i="3" a="1"/>
  <c r="L83" i="3" a="1"/>
  <c r="K59" i="3" a="1"/>
  <c r="L23" i="3" a="1"/>
  <c r="K99" i="3" a="1"/>
  <c r="L97" i="3" a="1"/>
  <c r="K11" i="3" a="1"/>
  <c r="L74" i="3" a="1"/>
  <c r="L21" i="3" a="1"/>
  <c r="K30" i="3" a="1"/>
  <c r="L59" i="3" a="1"/>
  <c r="K7" i="3" a="1"/>
  <c r="L11" i="3" a="1"/>
  <c r="L62" i="3" a="1"/>
  <c r="L77" i="3" a="1"/>
  <c r="L22" i="3" a="1"/>
  <c r="L88" i="3" a="1"/>
  <c r="L70" i="3" a="1"/>
  <c r="K58" i="3" a="1"/>
  <c r="K13" i="3" a="1"/>
  <c r="L68" i="3" a="1"/>
  <c r="K41" i="3" a="1"/>
  <c r="L45" i="3" a="1"/>
  <c r="L94" i="3" a="1"/>
  <c r="L7" i="3" a="1"/>
  <c r="K32" i="3" a="1"/>
  <c r="K88" i="3" a="1"/>
  <c r="K93" i="3" a="1"/>
  <c r="L85" i="3" a="1"/>
  <c r="L56" i="3" a="1"/>
  <c r="K83" i="3" a="1"/>
  <c r="K33" i="3" a="1"/>
  <c r="K17" i="3" a="1"/>
  <c r="L5" i="3" a="1"/>
  <c r="K9" i="3" a="1"/>
  <c r="L6" i="3" a="1"/>
  <c r="K22" i="3" a="1"/>
  <c r="K63" i="3" a="1"/>
  <c r="L24" i="3" a="1"/>
  <c r="L63" i="3" a="1"/>
  <c r="L58" i="3" a="1"/>
  <c r="K54" i="3" a="1"/>
  <c r="L48" i="3" a="1"/>
  <c r="L40" i="3" a="1"/>
  <c r="K76" i="3" a="1"/>
  <c r="L57" i="3" a="1"/>
  <c r="K82" i="3" a="1"/>
  <c r="L3" i="3" a="1"/>
  <c r="L81" i="3" a="1"/>
  <c r="K65" i="3" a="1"/>
  <c r="K62" i="3" a="1"/>
  <c r="K72" i="3" a="1"/>
  <c r="K27" i="3" a="1"/>
  <c r="L39" i="3" a="1"/>
  <c r="L92" i="3" a="1"/>
  <c r="K80" i="3" a="1"/>
  <c r="L84" i="3" a="1"/>
  <c r="K73" i="3" a="1"/>
  <c r="K79" i="3" a="1"/>
  <c r="L19" i="3" a="1"/>
  <c r="K67" i="3" a="1"/>
  <c r="L53" i="3" a="1"/>
  <c r="L33" i="3" a="1"/>
  <c r="L65" i="3" a="1"/>
  <c r="L61" i="3" a="1"/>
  <c r="K52" i="3" a="1"/>
  <c r="L79" i="3" a="1"/>
  <c r="K94" i="3" a="1"/>
  <c r="K6" i="3" a="1"/>
  <c r="L10" i="3" a="1"/>
  <c r="K95" i="3" a="1"/>
  <c r="K53" i="3" a="1"/>
  <c r="L16" i="3" a="1"/>
  <c r="L13" i="3" a="1"/>
  <c r="K26" i="3" a="1"/>
  <c r="K100" i="3" a="1"/>
  <c r="L52" i="3" a="1"/>
  <c r="L12" i="3" a="1"/>
  <c r="K49" i="3" a="1"/>
  <c r="K38" i="3" a="1"/>
  <c r="L29" i="3" a="1"/>
  <c r="L27" i="3" a="1"/>
  <c r="K70" i="3" a="1"/>
  <c r="K36" i="3" a="1"/>
  <c r="L20" i="3" a="1"/>
  <c r="L98" i="3" a="1"/>
  <c r="K12" i="3" a="1"/>
  <c r="L14" i="3" a="1"/>
  <c r="K84" i="3" a="1"/>
  <c r="K35" i="3" a="1"/>
  <c r="L38" i="3" a="1"/>
  <c r="K18" i="3" a="1"/>
  <c r="L78" i="3" a="1"/>
  <c r="K19" i="3" a="1"/>
  <c r="L46" i="3" a="1"/>
  <c r="L75" i="3" a="1"/>
  <c r="L25" i="3" a="1"/>
  <c r="K56" i="3" a="1"/>
  <c r="K39" i="3" a="1"/>
  <c r="L49" i="3" a="1"/>
  <c r="K64" i="3" a="1"/>
  <c r="K14" i="3" a="1"/>
  <c r="L31" i="3" a="1"/>
  <c r="K5" i="3" a="1"/>
  <c r="K74" i="3" a="1"/>
  <c r="K23" i="3" a="1"/>
  <c r="K45" i="3" a="1"/>
  <c r="L51" i="3" a="1"/>
  <c r="L95" i="3" a="1"/>
  <c r="K87" i="3" a="1"/>
  <c r="L60" i="3" a="1"/>
  <c r="K34" i="3" a="1"/>
  <c r="K51" i="3" a="1"/>
  <c r="L34" i="3" a="1"/>
  <c r="L36" i="3" a="1"/>
  <c r="L50" i="3" a="1"/>
  <c r="K96" i="3" a="1"/>
  <c r="L43" i="3" a="1"/>
  <c r="K55" i="3" a="1"/>
  <c r="L71" i="3" a="1"/>
  <c r="L42" i="3" a="1"/>
  <c r="K97" i="3" a="1"/>
  <c r="K85" i="3" a="1"/>
  <c r="K46" i="3" a="1"/>
  <c r="L96" i="3" a="1"/>
  <c r="K61" i="3" a="1"/>
  <c r="L89" i="3" a="1"/>
  <c r="L30" i="3" a="1"/>
  <c r="L82" i="3" a="1"/>
  <c r="K57" i="3" a="1"/>
  <c r="K66" i="3" a="1"/>
  <c r="K50" i="3" a="1"/>
  <c r="L47" i="3" a="1"/>
  <c r="L44" i="3" a="1"/>
  <c r="K25" i="3" a="1"/>
  <c r="K48" i="3" a="1"/>
  <c r="L76" i="3" a="1"/>
  <c r="L93" i="3" a="1"/>
  <c r="L99" i="3" a="1"/>
  <c r="K3" i="3" a="1"/>
  <c r="K91" i="3" a="1"/>
  <c r="K68" i="3" a="1"/>
  <c r="L90" i="3" a="1"/>
  <c r="L73" i="3" a="1"/>
  <c r="L41" i="3" a="1"/>
  <c r="L3" i="3" l="1"/>
  <c r="L91" i="3"/>
  <c r="L80" i="3"/>
  <c r="L69" i="3"/>
  <c r="L58" i="3"/>
  <c r="L47" i="3"/>
  <c r="L36" i="3"/>
  <c r="L25" i="3"/>
  <c r="L14" i="3"/>
  <c r="L90" i="3"/>
  <c r="L79" i="3"/>
  <c r="L68" i="3"/>
  <c r="L57" i="3"/>
  <c r="L46" i="3"/>
  <c r="L35" i="3"/>
  <c r="L24" i="3"/>
  <c r="L13" i="3"/>
  <c r="L100" i="3"/>
  <c r="L89" i="3"/>
  <c r="L78" i="3"/>
  <c r="L67" i="3"/>
  <c r="L56" i="3"/>
  <c r="L45" i="3"/>
  <c r="L34" i="3"/>
  <c r="L23" i="3"/>
  <c r="L12" i="3"/>
  <c r="L99" i="3"/>
  <c r="L88" i="3"/>
  <c r="L77" i="3"/>
  <c r="L66" i="3"/>
  <c r="L55" i="3"/>
  <c r="L44" i="3"/>
  <c r="L33" i="3"/>
  <c r="L22" i="3"/>
  <c r="L11" i="3"/>
  <c r="L98" i="3"/>
  <c r="L87" i="3"/>
  <c r="L76" i="3"/>
  <c r="L65" i="3"/>
  <c r="L54" i="3"/>
  <c r="L43" i="3"/>
  <c r="L32" i="3"/>
  <c r="L21" i="3"/>
  <c r="L10" i="3"/>
  <c r="L97" i="3"/>
  <c r="L86" i="3"/>
  <c r="L75" i="3"/>
  <c r="L64" i="3"/>
  <c r="L53" i="3"/>
  <c r="L42" i="3"/>
  <c r="L31" i="3"/>
  <c r="L20" i="3"/>
  <c r="L9" i="3"/>
  <c r="L96" i="3"/>
  <c r="L85" i="3"/>
  <c r="L74" i="3"/>
  <c r="L63" i="3"/>
  <c r="L52" i="3"/>
  <c r="L41" i="3"/>
  <c r="L30" i="3"/>
  <c r="L19" i="3"/>
  <c r="L8" i="3"/>
  <c r="L95" i="3"/>
  <c r="L84" i="3"/>
  <c r="L73" i="3"/>
  <c r="L62" i="3"/>
  <c r="L51" i="3"/>
  <c r="L40" i="3"/>
  <c r="L29" i="3"/>
  <c r="L18" i="3"/>
  <c r="L7" i="3"/>
  <c r="L94" i="3"/>
  <c r="L83" i="3"/>
  <c r="L72" i="3"/>
  <c r="L61" i="3"/>
  <c r="L50" i="3"/>
  <c r="L39" i="3"/>
  <c r="L28" i="3"/>
  <c r="L17" i="3"/>
  <c r="L6" i="3"/>
  <c r="L93" i="3"/>
  <c r="L82" i="3"/>
  <c r="L71" i="3"/>
  <c r="L60" i="3"/>
  <c r="L49" i="3"/>
  <c r="L38" i="3"/>
  <c r="L27" i="3"/>
  <c r="L16" i="3"/>
  <c r="L5" i="3"/>
  <c r="L92" i="3"/>
  <c r="L81" i="3"/>
  <c r="L70" i="3"/>
  <c r="L59" i="3"/>
  <c r="L48" i="3"/>
  <c r="L37" i="3"/>
  <c r="L26" i="3"/>
  <c r="L15" i="3"/>
  <c r="L4" i="3"/>
  <c r="K99" i="3"/>
  <c r="K77" i="3"/>
  <c r="K55" i="3"/>
  <c r="K32" i="3"/>
  <c r="K98" i="3"/>
  <c r="K76" i="3"/>
  <c r="K54" i="3"/>
  <c r="K25" i="3"/>
  <c r="K91" i="3"/>
  <c r="K69" i="3"/>
  <c r="K47" i="3"/>
  <c r="K24" i="3"/>
  <c r="K90" i="3"/>
  <c r="K68" i="3"/>
  <c r="K46" i="3"/>
  <c r="K23" i="3"/>
  <c r="K89" i="3"/>
  <c r="K67" i="3"/>
  <c r="K45" i="3"/>
  <c r="K22" i="3"/>
  <c r="K88" i="3"/>
  <c r="K66" i="3"/>
  <c r="K44" i="3"/>
  <c r="K21" i="3"/>
  <c r="K87" i="3"/>
  <c r="K65" i="3"/>
  <c r="K43" i="3"/>
  <c r="K14" i="3"/>
  <c r="K36" i="3"/>
  <c r="K13" i="3"/>
  <c r="K80" i="3"/>
  <c r="K58" i="3"/>
  <c r="K35" i="3"/>
  <c r="K12" i="3"/>
  <c r="K79" i="3"/>
  <c r="K57" i="3"/>
  <c r="K34" i="3"/>
  <c r="K11" i="3"/>
  <c r="K100" i="3"/>
  <c r="K78" i="3"/>
  <c r="K56" i="3"/>
  <c r="K33" i="3"/>
  <c r="K10" i="3"/>
  <c r="K97" i="3"/>
  <c r="K86" i="3"/>
  <c r="K75" i="3"/>
  <c r="K64" i="3"/>
  <c r="K53" i="3"/>
  <c r="K42" i="3"/>
  <c r="K31" i="3"/>
  <c r="K20" i="3"/>
  <c r="K9" i="3"/>
  <c r="K96" i="3"/>
  <c r="K85" i="3"/>
  <c r="K74" i="3"/>
  <c r="K63" i="3"/>
  <c r="K52" i="3"/>
  <c r="K41" i="3"/>
  <c r="K30" i="3"/>
  <c r="K19" i="3"/>
  <c r="K8" i="3"/>
  <c r="K95" i="3"/>
  <c r="K84" i="3"/>
  <c r="K73" i="3"/>
  <c r="K62" i="3"/>
  <c r="K51" i="3"/>
  <c r="K40" i="3"/>
  <c r="K29" i="3"/>
  <c r="K18" i="3"/>
  <c r="K7" i="3"/>
  <c r="K94" i="3"/>
  <c r="K83" i="3"/>
  <c r="K72" i="3"/>
  <c r="K61" i="3"/>
  <c r="K50" i="3"/>
  <c r="K39" i="3"/>
  <c r="K28" i="3"/>
  <c r="K17" i="3"/>
  <c r="K6" i="3"/>
  <c r="K93" i="3"/>
  <c r="K82" i="3"/>
  <c r="K71" i="3"/>
  <c r="K60" i="3"/>
  <c r="K49" i="3"/>
  <c r="K38" i="3"/>
  <c r="K27" i="3"/>
  <c r="K16" i="3"/>
  <c r="K5" i="3"/>
  <c r="K92" i="3"/>
  <c r="K81" i="3"/>
  <c r="K70" i="3"/>
  <c r="K59" i="3"/>
  <c r="K48" i="3"/>
  <c r="K37" i="3"/>
  <c r="K26" i="3"/>
  <c r="K15" i="3"/>
  <c r="K4" i="3"/>
  <c r="K3" i="3"/>
  <c r="V3" i="3" a="1"/>
  <c r="V3" i="3" s="1"/>
  <c r="V4" i="3" a="1"/>
  <c r="V4" i="3"/>
  <c r="V5" i="3" a="1"/>
  <c r="V5" i="3"/>
  <c r="V6" i="3" a="1"/>
  <c r="V6" i="3"/>
  <c r="V7" i="3" a="1"/>
  <c r="V7" i="3"/>
  <c r="V8" i="3" a="1"/>
  <c r="V8" i="3"/>
  <c r="V9" i="3" a="1"/>
  <c r="V9" i="3"/>
  <c r="V10" i="3" a="1"/>
  <c r="V10" i="3"/>
  <c r="V11" i="3" a="1"/>
  <c r="V11" i="3"/>
  <c r="V12" i="3" a="1"/>
  <c r="V12" i="3"/>
  <c r="V13" i="3" a="1"/>
  <c r="V13" i="3" s="1"/>
  <c r="V14" i="3" a="1"/>
  <c r="V14" i="3" s="1"/>
  <c r="V15" i="3" a="1"/>
  <c r="V15" i="3" s="1"/>
  <c r="V16" i="3" a="1"/>
  <c r="V16" i="3"/>
  <c r="V17" i="3" a="1"/>
  <c r="V17" i="3" s="1"/>
  <c r="V18" i="3" a="1"/>
  <c r="V18" i="3"/>
  <c r="V19" i="3" a="1"/>
  <c r="V19" i="3"/>
  <c r="V20" i="3" a="1"/>
  <c r="V20" i="3"/>
  <c r="V21" i="3" a="1"/>
  <c r="V21" i="3"/>
  <c r="V22" i="3" a="1"/>
  <c r="V22" i="3"/>
  <c r="V23" i="3" a="1"/>
  <c r="V23" i="3"/>
  <c r="V24" i="3" a="1"/>
  <c r="V24" i="3"/>
  <c r="V25" i="3" a="1"/>
  <c r="V25" i="3" s="1"/>
  <c r="V26" i="3" a="1"/>
  <c r="V26" i="3" s="1"/>
  <c r="V27" i="3" a="1"/>
  <c r="V27" i="3" s="1"/>
  <c r="V28" i="3" a="1"/>
  <c r="V28" i="3"/>
  <c r="V29" i="3" a="1"/>
  <c r="V29" i="3"/>
  <c r="V30" i="3" a="1"/>
  <c r="V30" i="3"/>
  <c r="V31" i="3" a="1"/>
  <c r="V31" i="3" s="1"/>
  <c r="V32" i="3" a="1"/>
  <c r="V32" i="3"/>
  <c r="V33" i="3" a="1"/>
  <c r="V33" i="3"/>
  <c r="V34" i="3" a="1"/>
  <c r="V34" i="3"/>
  <c r="V35" i="3" a="1"/>
  <c r="V35" i="3"/>
  <c r="V36" i="3" a="1"/>
  <c r="V36" i="3" s="1"/>
  <c r="V37" i="3" a="1"/>
  <c r="V37" i="3"/>
  <c r="V38" i="3" a="1"/>
  <c r="V38" i="3" s="1"/>
  <c r="V39" i="3" a="1"/>
  <c r="V39" i="3" s="1"/>
  <c r="V40" i="3" a="1"/>
  <c r="V40" i="3"/>
  <c r="V41" i="3" a="1"/>
  <c r="V41" i="3"/>
  <c r="V42" i="3" a="1"/>
  <c r="V42" i="3" s="1"/>
  <c r="V43" i="3" a="1"/>
  <c r="V43" i="3"/>
  <c r="V44" i="3" a="1"/>
  <c r="V44" i="3" s="1"/>
  <c r="V45" i="3" a="1"/>
  <c r="V45" i="3"/>
  <c r="V46" i="3" a="1"/>
  <c r="V46" i="3"/>
  <c r="V47" i="3" a="1"/>
  <c r="V47" i="3" s="1"/>
  <c r="V48" i="3" a="1"/>
  <c r="V48" i="3"/>
  <c r="V49" i="3" a="1"/>
  <c r="V49" i="3" s="1"/>
  <c r="V50" i="3" a="1"/>
  <c r="V50" i="3" s="1"/>
  <c r="V51" i="3" a="1"/>
  <c r="V51" i="3" s="1"/>
  <c r="V52" i="3" a="1"/>
  <c r="V52" i="3" s="1"/>
  <c r="V53" i="3" a="1"/>
  <c r="V53" i="3" s="1"/>
  <c r="V54" i="3" a="1"/>
  <c r="V54" i="3"/>
  <c r="V55" i="3" a="1"/>
  <c r="V55" i="3"/>
  <c r="V56" i="3" a="1"/>
  <c r="V56" i="3" s="1"/>
  <c r="V57" i="3" a="1"/>
  <c r="V57" i="3"/>
  <c r="V58" i="3" a="1"/>
  <c r="V58" i="3" s="1"/>
  <c r="V59" i="3" a="1"/>
  <c r="V59" i="3" s="1"/>
  <c r="V60" i="3" a="1"/>
  <c r="V60" i="3"/>
  <c r="V61" i="3" a="1"/>
  <c r="V61" i="3"/>
  <c r="V62" i="3" a="1"/>
  <c r="V62" i="3" s="1"/>
  <c r="V63" i="3" a="1"/>
  <c r="V63" i="3"/>
  <c r="V64" i="3" a="1"/>
  <c r="V64" i="3" s="1"/>
  <c r="V65" i="3" a="1"/>
  <c r="V65" i="3" s="1"/>
  <c r="V66" i="3" a="1"/>
  <c r="V66" i="3" s="1"/>
  <c r="V67" i="3" a="1"/>
  <c r="V67" i="3"/>
  <c r="V68" i="3" a="1"/>
  <c r="V68" i="3"/>
  <c r="V69" i="3" a="1"/>
  <c r="V69" i="3" s="1"/>
  <c r="V70" i="3" a="1"/>
  <c r="V70" i="3" s="1"/>
  <c r="V71" i="3" a="1"/>
  <c r="V71" i="3"/>
  <c r="V72" i="3" a="1"/>
  <c r="V72" i="3" s="1"/>
  <c r="V73" i="3" a="1"/>
  <c r="V73" i="3"/>
  <c r="V74" i="3" a="1"/>
  <c r="V74" i="3" s="1"/>
  <c r="V75" i="3" a="1"/>
  <c r="V75" i="3"/>
  <c r="V76" i="3" a="1"/>
  <c r="V76" i="3"/>
  <c r="V77" i="3" a="1"/>
  <c r="V77" i="3" s="1"/>
  <c r="V78" i="3" a="1"/>
  <c r="V78" i="3"/>
  <c r="V79" i="3" a="1"/>
  <c r="V79" i="3" s="1"/>
  <c r="V80" i="3" a="1"/>
  <c r="V80" i="3" s="1"/>
  <c r="V81" i="3" a="1"/>
  <c r="V81" i="3"/>
  <c r="V82" i="3" a="1"/>
  <c r="V82" i="3"/>
  <c r="V83" i="3" a="1"/>
  <c r="V83" i="3"/>
  <c r="V84" i="3" a="1"/>
  <c r="V84" i="3"/>
  <c r="V85" i="3" a="1"/>
  <c r="V85" i="3" s="1"/>
  <c r="V86" i="3" a="1"/>
  <c r="V86" i="3"/>
  <c r="V87" i="3" a="1"/>
  <c r="V87" i="3" s="1"/>
  <c r="V88" i="3" a="1"/>
  <c r="V88" i="3"/>
  <c r="V89" i="3" a="1"/>
  <c r="V89" i="3" s="1"/>
  <c r="V90" i="3" a="1"/>
  <c r="V90" i="3"/>
  <c r="V91" i="3" a="1"/>
  <c r="V91" i="3" s="1"/>
  <c r="V92" i="3" a="1"/>
  <c r="V92" i="3" s="1"/>
  <c r="V93" i="3" a="1"/>
  <c r="V93" i="3"/>
  <c r="V94" i="3" a="1"/>
  <c r="V94" i="3"/>
  <c r="V95" i="3" a="1"/>
  <c r="V95" i="3" s="1"/>
  <c r="V96" i="3" a="1"/>
  <c r="V96" i="3"/>
  <c r="V97" i="3" a="1"/>
  <c r="V97" i="3" s="1"/>
  <c r="V98" i="3" a="1"/>
  <c r="V98" i="3"/>
  <c r="V99" i="3" a="1"/>
  <c r="V99" i="3"/>
  <c r="V100" i="3" a="1"/>
  <c r="V100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3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E3" i="3"/>
  <c r="D3" i="3"/>
  <c r="AC21" i="3" a="1"/>
  <c r="AB30" i="3" a="1"/>
  <c r="AC82" i="3" a="1"/>
  <c r="AC71" i="3" a="1"/>
  <c r="AB79" i="3" a="1"/>
  <c r="AC26" i="3" a="1"/>
  <c r="AC94" i="3" a="1"/>
  <c r="AC28" i="3" a="1"/>
  <c r="AB83" i="3" a="1"/>
  <c r="AB25" i="3" a="1"/>
  <c r="AC49" i="3" a="1"/>
  <c r="AC5" i="3" a="1"/>
  <c r="AB38" i="3" a="1"/>
  <c r="AB64" i="3" a="1"/>
  <c r="AB36" i="3" a="1"/>
  <c r="AB47" i="3" a="1"/>
  <c r="AC30" i="3" a="1"/>
  <c r="AC51" i="3" a="1"/>
  <c r="AB35" i="3" a="1"/>
  <c r="AB59" i="3" a="1"/>
  <c r="AC7" i="3" a="1"/>
  <c r="AB95" i="3" a="1"/>
  <c r="AB100" i="3" a="1"/>
  <c r="AB63" i="3" a="1"/>
  <c r="AC13" i="3" a="1"/>
  <c r="AC20" i="3" a="1"/>
  <c r="AB53" i="3" a="1"/>
  <c r="AC24" i="3" a="1"/>
  <c r="AB70" i="3" a="1"/>
  <c r="AB7" i="3" a="1"/>
  <c r="AB77" i="3" a="1"/>
  <c r="AC11" i="3" a="1"/>
  <c r="AC3" i="3" a="1"/>
  <c r="AB20" i="3" a="1"/>
  <c r="AC35" i="3" a="1"/>
  <c r="AB24" i="3" a="1"/>
  <c r="AC98" i="3" a="1"/>
  <c r="AC92" i="3" a="1"/>
  <c r="AC72" i="3" a="1"/>
  <c r="AB94" i="3" a="1"/>
  <c r="AB86" i="3" a="1"/>
  <c r="AC78" i="3" a="1"/>
  <c r="AB75" i="3" a="1"/>
  <c r="AC90" i="3" a="1"/>
  <c r="AC32" i="3" a="1"/>
  <c r="AC93" i="3" a="1"/>
  <c r="AB91" i="3" a="1"/>
  <c r="AC61" i="3" a="1"/>
  <c r="AB78" i="3" a="1"/>
  <c r="AB55" i="3" a="1"/>
  <c r="AC12" i="3" a="1"/>
  <c r="AC88" i="3" a="1"/>
  <c r="AB51" i="3" a="1"/>
  <c r="AC60" i="3" a="1"/>
  <c r="AB46" i="3" a="1"/>
  <c r="AC69" i="3" a="1"/>
  <c r="AC62" i="3" a="1"/>
  <c r="AB31" i="3" a="1"/>
  <c r="AB33" i="3" a="1"/>
  <c r="AB34" i="3" a="1"/>
  <c r="AB11" i="3" a="1"/>
  <c r="AB56" i="3" a="1"/>
  <c r="AB50" i="3" a="1"/>
  <c r="AB69" i="3" a="1"/>
  <c r="AC83" i="3" a="1"/>
  <c r="AB72" i="3" a="1"/>
  <c r="AB19" i="3" a="1"/>
  <c r="AB82" i="3" a="1"/>
  <c r="AB74" i="3" a="1"/>
  <c r="AC34" i="3" a="1"/>
  <c r="AB13" i="3" a="1"/>
  <c r="AC14" i="3" a="1"/>
  <c r="AB98" i="3" a="1"/>
  <c r="AC25" i="3" a="1"/>
  <c r="AB66" i="3" a="1"/>
  <c r="AC48" i="3" a="1"/>
  <c r="AB49" i="3" a="1"/>
  <c r="AB42" i="3" a="1"/>
  <c r="AC89" i="3" a="1"/>
  <c r="AC38" i="3" a="1"/>
  <c r="AC56" i="3" a="1"/>
  <c r="AB3" i="3" a="1"/>
  <c r="AC58" i="3" a="1"/>
  <c r="AB6" i="3" a="1"/>
  <c r="AB9" i="3" a="1"/>
  <c r="AC22" i="3" a="1"/>
  <c r="AB37" i="3" a="1"/>
  <c r="AC74" i="3" a="1"/>
  <c r="AC33" i="3" a="1"/>
  <c r="AC19" i="3" a="1"/>
  <c r="AC86" i="3" a="1"/>
  <c r="AC45" i="3" a="1"/>
  <c r="AB61" i="3" a="1"/>
  <c r="AB80" i="3" a="1"/>
  <c r="AC53" i="3" a="1"/>
  <c r="AC17" i="3" a="1"/>
  <c r="AC40" i="3" a="1"/>
  <c r="AB21" i="3" a="1"/>
  <c r="AB43" i="3" a="1"/>
  <c r="AB88" i="3" a="1"/>
  <c r="AB40" i="3" a="1"/>
  <c r="AB23" i="3" a="1"/>
  <c r="AC54" i="3" a="1"/>
  <c r="AC77" i="3" a="1"/>
  <c r="AB99" i="3" a="1"/>
  <c r="AC64" i="3" a="1"/>
  <c r="AB48" i="3" a="1"/>
  <c r="AC73" i="3" a="1"/>
  <c r="AB26" i="3" a="1"/>
  <c r="AB57" i="3" a="1"/>
  <c r="AC10" i="3" a="1"/>
  <c r="AB87" i="3" a="1"/>
  <c r="AC6" i="3" a="1"/>
  <c r="AC63" i="3" a="1"/>
  <c r="AC15" i="3" a="1"/>
  <c r="AC84" i="3" a="1"/>
  <c r="AC80" i="3" a="1"/>
  <c r="AB16" i="3" a="1"/>
  <c r="AB18" i="3" a="1"/>
  <c r="AB44" i="3" a="1"/>
  <c r="AB39" i="3" a="1"/>
  <c r="AC41" i="3" a="1"/>
  <c r="AC75" i="3" a="1"/>
  <c r="AC50" i="3" a="1"/>
  <c r="AC70" i="3" a="1"/>
  <c r="AC59" i="3" a="1"/>
  <c r="AC47" i="3" a="1"/>
  <c r="AC27" i="3" a="1"/>
  <c r="AC31" i="3" a="1"/>
  <c r="AB15" i="3" a="1"/>
  <c r="AC66" i="3" a="1"/>
  <c r="AB10" i="3" a="1"/>
  <c r="AB12" i="3" a="1"/>
  <c r="AB54" i="3" a="1"/>
  <c r="AB41" i="3" a="1"/>
  <c r="AC23" i="3" a="1"/>
  <c r="AB27" i="3" a="1"/>
  <c r="AC36" i="3" a="1"/>
  <c r="AB84" i="3" a="1"/>
  <c r="AB58" i="3" a="1"/>
  <c r="AC79" i="3" a="1"/>
  <c r="AB97" i="3" a="1"/>
  <c r="AC44" i="3" a="1"/>
  <c r="AB85" i="3" a="1"/>
  <c r="AC9" i="3" a="1"/>
  <c r="AB22" i="3" a="1"/>
  <c r="AB90" i="3" a="1"/>
  <c r="AC100" i="3" a="1"/>
  <c r="AC29" i="3" a="1"/>
  <c r="AC81" i="3" a="1"/>
  <c r="AC39" i="3" a="1"/>
  <c r="AC95" i="3" a="1"/>
  <c r="AC76" i="3" a="1"/>
  <c r="AC65" i="3" a="1"/>
  <c r="AB5" i="3" a="1"/>
  <c r="AC68" i="3" a="1"/>
  <c r="AB68" i="3" a="1"/>
  <c r="AB29" i="3" a="1"/>
  <c r="AC97" i="3" a="1"/>
  <c r="AB60" i="3" a="1"/>
  <c r="AB32" i="3" a="1"/>
  <c r="AC67" i="3" a="1"/>
  <c r="AB93" i="3" a="1"/>
  <c r="AB67" i="3" a="1"/>
  <c r="AC46" i="3" a="1"/>
  <c r="AB71" i="3" a="1"/>
  <c r="AC52" i="3" a="1"/>
  <c r="AC42" i="3" a="1"/>
  <c r="AB28" i="3" a="1"/>
  <c r="AB65" i="3" a="1"/>
  <c r="AB52" i="3" a="1"/>
  <c r="AC37" i="3" a="1"/>
  <c r="AB76" i="3" a="1"/>
  <c r="AC43" i="3" a="1"/>
  <c r="AB92" i="3" a="1"/>
  <c r="AB17" i="3" a="1"/>
  <c r="AB14" i="3" a="1"/>
  <c r="AC4" i="3" a="1"/>
  <c r="AC57" i="3" a="1"/>
  <c r="AC8" i="3" a="1"/>
  <c r="AC91" i="3" a="1"/>
  <c r="AC18" i="3" a="1"/>
  <c r="AC87" i="3" a="1"/>
  <c r="AC85" i="3" a="1"/>
  <c r="AC55" i="3" a="1"/>
  <c r="AC96" i="3" a="1"/>
  <c r="AB62" i="3" a="1"/>
  <c r="AC99" i="3" a="1"/>
  <c r="AB89" i="3" a="1"/>
  <c r="AB8" i="3" a="1"/>
  <c r="AB45" i="3" a="1"/>
  <c r="AB96" i="3" a="1"/>
  <c r="AB81" i="3" a="1"/>
  <c r="AB4" i="3" a="1"/>
  <c r="AB73" i="3" a="1"/>
  <c r="AC16" i="3" a="1"/>
  <c r="AC3" i="3" l="1"/>
  <c r="AB10" i="3"/>
  <c r="AC72" i="3"/>
  <c r="AC39" i="3"/>
  <c r="AB28" i="3"/>
  <c r="AC79" i="3"/>
  <c r="AC30" i="3"/>
  <c r="AC50" i="3"/>
  <c r="AC49" i="3"/>
  <c r="AC48" i="3"/>
  <c r="AB30" i="3"/>
  <c r="AC37" i="3"/>
  <c r="AB69" i="3"/>
  <c r="AB99" i="3"/>
  <c r="AB81" i="3"/>
  <c r="AC13" i="3"/>
  <c r="AC58" i="3"/>
  <c r="AB56" i="3"/>
  <c r="AC80" i="3"/>
  <c r="AC14" i="3"/>
  <c r="AC51" i="3"/>
  <c r="AC32" i="3"/>
  <c r="AB44" i="3"/>
  <c r="AB19" i="3"/>
  <c r="AB55" i="3"/>
  <c r="AC53" i="3"/>
  <c r="AC29" i="3"/>
  <c r="AB40" i="3"/>
  <c r="AB60" i="3"/>
  <c r="AC96" i="3"/>
  <c r="AC25" i="3"/>
  <c r="AC24" i="3"/>
  <c r="AB54" i="3"/>
  <c r="AB20" i="3"/>
  <c r="AB51" i="3"/>
  <c r="AC47" i="3"/>
  <c r="AB24" i="3"/>
  <c r="AB67" i="3"/>
  <c r="AB13" i="3"/>
  <c r="AC43" i="3"/>
  <c r="AC19" i="3"/>
  <c r="AC46" i="3"/>
  <c r="AB82" i="3"/>
  <c r="AC75" i="3"/>
  <c r="AB63" i="3"/>
  <c r="AB43" i="3"/>
  <c r="AC27" i="3"/>
  <c r="AB41" i="3"/>
  <c r="AC86" i="3"/>
  <c r="AC28" i="3"/>
  <c r="AC69" i="3"/>
  <c r="AC16" i="3"/>
  <c r="AB31" i="3"/>
  <c r="AC11" i="3"/>
  <c r="AC57" i="3"/>
  <c r="AB58" i="3"/>
  <c r="AC60" i="3"/>
  <c r="AB65" i="3"/>
  <c r="AB85" i="3"/>
  <c r="AC33" i="3"/>
  <c r="AC99" i="3"/>
  <c r="AC40" i="3"/>
  <c r="AC59" i="3"/>
  <c r="AC83" i="3"/>
  <c r="AC67" i="3"/>
  <c r="AC10" i="3"/>
  <c r="AB4" i="3"/>
  <c r="AB21" i="3"/>
  <c r="AB68" i="3"/>
  <c r="AC26" i="3"/>
  <c r="AB73" i="3"/>
  <c r="AB64" i="3"/>
  <c r="AB6" i="3"/>
  <c r="AC55" i="3"/>
  <c r="AC12" i="3"/>
  <c r="AB38" i="3"/>
  <c r="AB59" i="3"/>
  <c r="AB11" i="3"/>
  <c r="AB71" i="3"/>
  <c r="AC66" i="3"/>
  <c r="AB70" i="3"/>
  <c r="AC18" i="3"/>
  <c r="AB22" i="3"/>
  <c r="AB96" i="3"/>
  <c r="AC22" i="3"/>
  <c r="AB100" i="3"/>
  <c r="AB83" i="3"/>
  <c r="AB84" i="3"/>
  <c r="AB52" i="3"/>
  <c r="AB88" i="3"/>
  <c r="AB91" i="3"/>
  <c r="AB15" i="3"/>
  <c r="AB94" i="3"/>
  <c r="AB18" i="3"/>
  <c r="AC15" i="3"/>
  <c r="AC21" i="3"/>
  <c r="AB23" i="3"/>
  <c r="AC44" i="3"/>
  <c r="AC61" i="3"/>
  <c r="AB77" i="3"/>
  <c r="AB48" i="3"/>
  <c r="AC87" i="3"/>
  <c r="AB74" i="3"/>
  <c r="AC73" i="3"/>
  <c r="AB39" i="3"/>
  <c r="AC70" i="3"/>
  <c r="AB86" i="3"/>
  <c r="AC23" i="3"/>
  <c r="AB17" i="3"/>
  <c r="AC78" i="3"/>
  <c r="AB26" i="3"/>
  <c r="AB53" i="3"/>
  <c r="AC71" i="3"/>
  <c r="AC35" i="3"/>
  <c r="AC90" i="3"/>
  <c r="AC97" i="3"/>
  <c r="AB32" i="3"/>
  <c r="AB50" i="3"/>
  <c r="AB27" i="3"/>
  <c r="AB92" i="3"/>
  <c r="AB25" i="3"/>
  <c r="AB5" i="3"/>
  <c r="AB75" i="3"/>
  <c r="AC6" i="3"/>
  <c r="AC65" i="3"/>
  <c r="AC92" i="3"/>
  <c r="AC38" i="3"/>
  <c r="AB90" i="3"/>
  <c r="AC76" i="3"/>
  <c r="AC4" i="3"/>
  <c r="AB61" i="3"/>
  <c r="AC85" i="3"/>
  <c r="AC63" i="3"/>
  <c r="AB78" i="3"/>
  <c r="AC52" i="3"/>
  <c r="AB16" i="3"/>
  <c r="AC45" i="3"/>
  <c r="AC93" i="3"/>
  <c r="AC98" i="3"/>
  <c r="AC68" i="3"/>
  <c r="AB66" i="3"/>
  <c r="AB45" i="3"/>
  <c r="AC7" i="3"/>
  <c r="AC81" i="3"/>
  <c r="AB12" i="3"/>
  <c r="AB76" i="3"/>
  <c r="AB36" i="3"/>
  <c r="AB62" i="3"/>
  <c r="AB33" i="3"/>
  <c r="AC17" i="3"/>
  <c r="AB7" i="3"/>
  <c r="AC91" i="3"/>
  <c r="AB3" i="3"/>
  <c r="AC20" i="3"/>
  <c r="AB79" i="3"/>
  <c r="AC56" i="3"/>
  <c r="AB46" i="3"/>
  <c r="AB87" i="3"/>
  <c r="AB93" i="3"/>
  <c r="AC89" i="3"/>
  <c r="AC74" i="3"/>
  <c r="AC88" i="3"/>
  <c r="AC54" i="3"/>
  <c r="AB49" i="3"/>
  <c r="AB8" i="3"/>
  <c r="AC5" i="3"/>
  <c r="AC84" i="3"/>
  <c r="AC31" i="3"/>
  <c r="AC62" i="3"/>
  <c r="AB47" i="3"/>
  <c r="AB89" i="3"/>
  <c r="AC41" i="3"/>
  <c r="AB72" i="3"/>
  <c r="AB95" i="3"/>
  <c r="AB14" i="3"/>
  <c r="AC9" i="3"/>
  <c r="AB97" i="3"/>
  <c r="AB9" i="3"/>
  <c r="AB42" i="3"/>
  <c r="AB34" i="3"/>
  <c r="AC77" i="3"/>
  <c r="AC36" i="3"/>
  <c r="AC82" i="3"/>
  <c r="AB29" i="3"/>
  <c r="AB37" i="3"/>
  <c r="AB57" i="3"/>
  <c r="AB80" i="3"/>
  <c r="AC95" i="3"/>
  <c r="AC100" i="3"/>
  <c r="AC94" i="3"/>
  <c r="AC8" i="3"/>
  <c r="AB35" i="3"/>
  <c r="AB98" i="3"/>
  <c r="AC34" i="3"/>
  <c r="AC64" i="3"/>
  <c r="AC4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<sst xmlns="http://schemas.openxmlformats.org/spreadsheetml/2006/main" count="297" uniqueCount="181">
  <si>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</si>
  <si>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</si>
  <si>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</si>
  <si>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</si>
  <si>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</si>
  <si>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</si>
  <si>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</si>
  <si>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</si>
  <si>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</si>
  <si>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</si>
  <si>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</si>
  <si>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</si>
  <si>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</si>
  <si>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</si>
  <si>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</si>
  <si>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</si>
  <si>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</si>
  <si>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</si>
  <si>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</si>
  <si>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</si>
  <si>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</si>
  <si>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</si>
  <si>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</si>
  <si>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</si>
  <si>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</si>
  <si>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</si>
  <si>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</si>
  <si>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</si>
  <si>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</si>
  <si>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</si>
  <si>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</si>
  <si>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</si>
  <si>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</si>
  <si>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</si>
  <si>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</si>
  <si>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</si>
  <si>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</si>
  <si>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</si>
  <si>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</si>
  <si>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</si>
  <si>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</si>
  <si>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</si>
  <si>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</si>
  <si>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</si>
  <si>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</si>
  <si>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</si>
  <si>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</si>
  <si>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</si>
  <si>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</si>
  <si>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</si>
  <si>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</si>
  <si>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</si>
  <si>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</si>
  <si>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</si>
  <si>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</si>
  <si>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</si>
  <si>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</si>
  <si>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</si>
  <si>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</si>
  <si>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</si>
  <si>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</si>
  <si>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</si>
  <si>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</si>
  <si>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</si>
  <si>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</si>
  <si>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</si>
  <si>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</si>
  <si>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</si>
  <si>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</si>
  <si>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</si>
  <si>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</si>
  <si>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</si>
  <si>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</si>
  <si>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</si>
  <si>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</si>
  <si>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</si>
  <si>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</si>
  <si>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</si>
  <si>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</si>
  <si>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</si>
  <si>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</si>
  <si>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</si>
  <si>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</si>
  <si>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</si>
  <si>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</si>
  <si>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</si>
  <si>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</si>
  <si>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</si>
  <si>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</si>
  <si>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</si>
  <si>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</si>
  <si>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</si>
  <si>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</si>
  <si>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</si>
  <si>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</si>
  <si>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</si>
  <si>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</si>
  <si>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</si>
  <si>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</si>
  <si>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</si>
  <si>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</si>
  <si>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</si>
  <si>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</si>
  <si>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</si>
  <si>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</si>
  <si>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</si>
  <si>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</si>
  <si>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</si>
  <si>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</si>
  <si>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</si>
  <si>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</si>
  <si>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</si>
  <si>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</si>
  <si>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</si>
  <si>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</si>
  <si>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</si>
  <si>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</si>
  <si>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</si>
  <si>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</si>
  <si>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</si>
  <si>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</si>
  <si>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</si>
  <si>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</si>
  <si>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</si>
  <si>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</si>
  <si>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</si>
  <si>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</si>
  <si>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</si>
  <si>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</si>
  <si>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</si>
  <si>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</si>
  <si>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</si>
  <si>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</si>
  <si>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</si>
  <si>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</si>
  <si>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</si>
  <si>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</si>
  <si>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</si>
  <si>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</si>
  <si>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</si>
  <si>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</si>
  <si>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</si>
  <si>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</si>
  <si>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</si>
  <si>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</si>
  <si>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</si>
  <si>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</si>
  <si>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</si>
  <si>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</si>
  <si>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</si>
  <si>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</si>
  <si>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</si>
  <si>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</si>
  <si>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</si>
  <si>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</si>
  <si>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</si>
  <si>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</si>
  <si>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</si>
  <si>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</si>
  <si>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</si>
  <si>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</si>
  <si>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</si>
  <si>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</si>
  <si>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</si>
  <si>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</si>
  <si>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</si>
  <si>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</si>
  <si>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</si>
  <si>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</si>
  <si>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</si>
  <si>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</si>
  <si>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</si>
  <si>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</si>
  <si>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</si>
  <si>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</si>
  <si>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</si>
  <si>
    <t>値</t>
    <rPh sb="0" eb="1">
      <t>アタイ</t>
    </rPh>
    <phoneticPr fontId="1"/>
  </si>
  <si>
    <t>precast_concrete_raber</t>
    <phoneticPr fontId="1"/>
  </si>
  <si>
    <t>コンクリート</t>
    <phoneticPr fontId="1"/>
  </si>
  <si>
    <t>PCaコンクリート(m3)</t>
    <phoneticPr fontId="1"/>
  </si>
  <si>
    <t>I118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</si>
</sst>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G21" totalsRowShown="0" headerRowDxfId="48" dataDxfId="47">
  <autoFilter ref="A1:G21" xr:uid="{02543697-3184-4284-B1A9-779294162BCF}"/>
  <tableColumns count="7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7" xr3:uid="{6DFD0AAF-57ED-4094-A760-084124131FB4}" name="値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ROUND(用途別面積[[#This Row],[床面積]],1)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ROUND(現場打杭[[#This Row],[コンクリート数量]],1)</calculatedColumnFormula>
    </tableColumn>
    <tableColumn id="4" xr3:uid="{00000000-0010-0000-0100-000004000000}" name="sheet" dataDxfId="27">
      <calculatedColumnFormula array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calculatedColumnFormula>
    </tableColumn>
    <tableColumn id="5" xr3:uid="{00000000-0010-0000-0100-000005000000}" name="cell" dataDxfId="26">
      <calculatedColumnFormula array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 array="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 array="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ROUND(現場打コンクリート[[#This Row],[数量]],1)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ROUND(PCaコンクリート_鉄筋無し[[#This Row],[数量]],1)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tabSelected="1" workbookViewId="0"/>
  </sheetViews>
  <sheetFormatPr defaultRowHeight="17.649999999999999" x14ac:dyDescent="0.7"/>
  <sheetData>
    <row r="1" spans="2:13" x14ac:dyDescent="0.7">
      <c r="B1" t="s">
        <v>0</v>
      </c>
    </row>
    <row r="2" spans="2:13" x14ac:dyDescent="0.7">
      <c r="B2" t="s">
        <v>1</v>
      </c>
    </row>
    <row r="3" spans="2:13" x14ac:dyDescent="0.7">
      <c r="B3" t="s">
        <v>2</v>
      </c>
    </row>
    <row r="4" spans="2:13" x14ac:dyDescent="0.7">
      <c r="B4" s="1" t="s">
        <v>3</v>
      </c>
    </row>
    <row r="6" spans="2:13" x14ac:dyDescent="0.7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7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7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7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7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7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7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1"/>
  <sheetViews>
    <sheetView workbookViewId="0"/>
  </sheetViews>
  <sheetFormatPr defaultColWidth="9.125" defaultRowHeight="17.649999999999999" x14ac:dyDescent="0.7"/>
  <cols>
    <col min="1" max="6" width="20" style="4" customWidth="1"/>
  </cols>
  <sheetData>
    <row r="1" spans="1:7" x14ac:dyDescent="0.7">
      <c r="A1" t="s">
        <v>6</v>
      </c>
      <c r="B1" t="s">
        <v>7</v>
      </c>
      <c r="C1" t="s">
        <v>8</v>
      </c>
      <c r="D1" t="s">
        <v>176</v>
      </c>
      <c r="E1" t="s">
        <v>9</v>
      </c>
      <c r="F1" s="4" t="s">
        <v>10</v>
      </c>
      <c r="G1" t="s">
        <v>11</v>
      </c>
    </row>
    <row r="2" spans="1:7" x14ac:dyDescent="0.7">
      <c r="A2" t="s">
        <v>12</v>
      </c>
      <c r="B2" t="s">
        <v>13</v>
      </c>
      <c r="C2" t="s">
        <v>14</v>
      </c>
      <c r="D2"/>
      <c r="E2" s="3" t="str">
        <f>IF(単一入力[[#This Row],[値]]="","",単一入力[[#This Row],[値]])</f>
        <v/>
      </c>
      <c r="F2" s="6" t="s">
        <v>107</v>
      </c>
      <c r="G2" s="3" t="s">
        <v>165</v>
      </c>
    </row>
    <row r="3" spans="1:7" x14ac:dyDescent="0.7">
      <c r="A3" t="s">
        <v>15</v>
      </c>
      <c r="B3" t="s">
        <v>16</v>
      </c>
      <c r="C3" t="s">
        <v>17</v>
      </c>
      <c r="D3"/>
      <c r="E3" s="3" t="str">
        <f>IF(単一入力[[#This Row],[値]]="","",単一入力[[#This Row],[値]])</f>
        <v/>
      </c>
      <c r="F3" s="6" t="s">
        <v>107</v>
      </c>
      <c r="G3" s="3" t="s">
        <v>166</v>
      </c>
    </row>
    <row r="4" spans="1:7" x14ac:dyDescent="0.7">
      <c r="A4" t="s">
        <v>19</v>
      </c>
      <c r="B4" t="s">
        <v>20</v>
      </c>
      <c r="C4" t="s">
        <v>21</v>
      </c>
      <c r="D4"/>
      <c r="E4" s="3" t="str">
        <f>IF(単一入力[[#This Row],[値]]="","",ROUND(単一入力[[#This Row],[値]],2))</f>
        <v/>
      </c>
      <c r="F4" s="6" t="s">
        <v>107</v>
      </c>
      <c r="G4" s="3" t="s">
        <v>167</v>
      </c>
    </row>
    <row r="5" spans="1:7" x14ac:dyDescent="0.7">
      <c r="A5" t="s">
        <v>22</v>
      </c>
      <c r="B5" t="s">
        <v>20</v>
      </c>
      <c r="C5" t="s">
        <v>23</v>
      </c>
      <c r="D5"/>
      <c r="E5" s="3" t="str">
        <f>IF(単一入力[[#This Row],[値]]="","",ROUND(単一入力[[#This Row],[値]],2))</f>
        <v/>
      </c>
      <c r="F5" s="6" t="s">
        <v>107</v>
      </c>
      <c r="G5" s="3" t="s">
        <v>168</v>
      </c>
    </row>
    <row r="6" spans="1:7" x14ac:dyDescent="0.7">
      <c r="A6" t="s">
        <v>24</v>
      </c>
      <c r="B6" t="s">
        <v>20</v>
      </c>
      <c r="C6" t="s">
        <v>25</v>
      </c>
      <c r="D6"/>
      <c r="E6" s="3" t="str">
        <f>IF(単一入力[[#This Row],[値]]="","",ROUND(単一入力[[#This Row],[値]],2))</f>
        <v/>
      </c>
      <c r="F6" s="6" t="s">
        <v>107</v>
      </c>
      <c r="G6" s="3" t="s">
        <v>169</v>
      </c>
    </row>
    <row r="7" spans="1:7" x14ac:dyDescent="0.7">
      <c r="A7" t="s">
        <v>26</v>
      </c>
      <c r="B7" t="s">
        <v>20</v>
      </c>
      <c r="C7" t="s">
        <v>27</v>
      </c>
      <c r="D7"/>
      <c r="E7" s="3" t="str">
        <f>IF(単一入力[[#This Row],[値]]="","",ROUND(単一入力[[#This Row],[値]],2))</f>
        <v/>
      </c>
      <c r="F7" s="6" t="s">
        <v>107</v>
      </c>
      <c r="G7" s="3" t="s">
        <v>170</v>
      </c>
    </row>
    <row r="8" spans="1:7" x14ac:dyDescent="0.7">
      <c r="A8" t="s">
        <v>28</v>
      </c>
      <c r="B8" t="s">
        <v>29</v>
      </c>
      <c r="C8" t="s">
        <v>30</v>
      </c>
      <c r="D8"/>
      <c r="E8" s="3" t="str">
        <f>IF(単一入力[[#This Row],[値]]="","",ROUND(単一入力[[#This Row],[値]],2))</f>
        <v/>
      </c>
      <c r="F8" s="6" t="s">
        <v>107</v>
      </c>
      <c r="G8" s="3" t="s">
        <v>171</v>
      </c>
    </row>
    <row r="9" spans="1:7" x14ac:dyDescent="0.7">
      <c r="A9" t="s">
        <v>177</v>
      </c>
      <c r="B9" t="s">
        <v>178</v>
      </c>
      <c r="C9" t="s">
        <v>179</v>
      </c>
      <c r="D9"/>
      <c r="E9" s="3" t="str">
        <f>IF(単一入力[[#This Row],[値]]="","",ROUND(単一入力[[#This Row],[値]],2))</f>
        <v/>
      </c>
      <c r="F9" s="6" t="s">
        <v>107</v>
      </c>
      <c r="G9" s="3" t="s">
        <v>180</v>
      </c>
    </row>
    <row r="10" spans="1:7" x14ac:dyDescent="0.7">
      <c r="A10" t="s">
        <v>31</v>
      </c>
      <c r="B10" t="s">
        <v>32</v>
      </c>
      <c r="C10" t="s">
        <v>33</v>
      </c>
      <c r="D10"/>
      <c r="E10" s="3" t="str">
        <f>IF(単一入力[[#This Row],[値]]="","",ROUND(単一入力[[#This Row],[値]]*1000,2))</f>
        <v/>
      </c>
      <c r="F10" s="6" t="s">
        <v>107</v>
      </c>
      <c r="G10" s="3" t="s">
        <v>175</v>
      </c>
    </row>
    <row r="11" spans="1:7" x14ac:dyDescent="0.7">
      <c r="A11" t="s">
        <v>34</v>
      </c>
      <c r="B11" t="s">
        <v>32</v>
      </c>
      <c r="C11" t="s">
        <v>35</v>
      </c>
      <c r="D11"/>
      <c r="E11" s="3" t="str">
        <f>IF(単一入力[[#This Row],[値]]="","",ROUND(単一入力[[#This Row],[値]],2))</f>
        <v/>
      </c>
      <c r="F11" s="6" t="s">
        <v>107</v>
      </c>
      <c r="G11" s="3" t="s">
        <v>172</v>
      </c>
    </row>
    <row r="12" spans="1:7" x14ac:dyDescent="0.7">
      <c r="A12" t="s">
        <v>36</v>
      </c>
      <c r="B12" t="s">
        <v>32</v>
      </c>
      <c r="C12" t="s">
        <v>37</v>
      </c>
      <c r="D12"/>
      <c r="E12" s="3" t="str">
        <f>IF(単一入力[[#This Row],[値]]="","",ROUND(単一入力[[#This Row],[値]]*1000,2))</f>
        <v/>
      </c>
      <c r="F12" s="6" t="s">
        <v>107</v>
      </c>
      <c r="G12" s="3" t="s">
        <v>174</v>
      </c>
    </row>
    <row r="13" spans="1:7" x14ac:dyDescent="0.7">
      <c r="A13" t="s">
        <v>38</v>
      </c>
      <c r="B13" t="s">
        <v>32</v>
      </c>
      <c r="C13" t="s">
        <v>39</v>
      </c>
      <c r="D13"/>
      <c r="E13" s="3" t="str">
        <f>IF(単一入力[[#This Row],[値]]="","",ROUND(単一入力[[#This Row],[値]],2))</f>
        <v/>
      </c>
      <c r="F13" s="6" t="s">
        <v>107</v>
      </c>
      <c r="G13" s="3" t="s">
        <v>173</v>
      </c>
    </row>
    <row r="14" spans="1:7" x14ac:dyDescent="0.7">
      <c r="A14" t="s">
        <v>40</v>
      </c>
      <c r="B14" t="s">
        <v>32</v>
      </c>
      <c r="C14" t="s">
        <v>41</v>
      </c>
      <c r="D14"/>
      <c r="E14" s="3" t="str">
        <f>IF(単一入力[[#This Row],[値]]="","",単一入力[[#This Row],[値]])</f>
        <v/>
      </c>
      <c r="F14" s="6"/>
      <c r="G14" s="3"/>
    </row>
    <row r="15" spans="1:7" x14ac:dyDescent="0.7">
      <c r="A15" t="s">
        <v>42</v>
      </c>
      <c r="B15" t="s">
        <v>32</v>
      </c>
      <c r="C15" t="s">
        <v>43</v>
      </c>
      <c r="D15"/>
      <c r="E15" s="3" t="str">
        <f>IF(単一入力[[#This Row],[値]]="","",単一入力[[#This Row],[値]])</f>
        <v/>
      </c>
      <c r="F15" s="6"/>
      <c r="G15" s="3"/>
    </row>
    <row r="16" spans="1:7" x14ac:dyDescent="0.7">
      <c r="A16" t="s">
        <v>44</v>
      </c>
      <c r="B16" t="s">
        <v>45</v>
      </c>
      <c r="C16" t="s">
        <v>46</v>
      </c>
      <c r="D16"/>
      <c r="E16" s="3" t="str">
        <f>IF(単一入力[[#This Row],[値]]="","",単一入力[[#This Row],[値]])</f>
        <v/>
      </c>
      <c r="F16" s="6"/>
      <c r="G16" s="3"/>
    </row>
    <row r="17" spans="1:7" x14ac:dyDescent="0.7">
      <c r="A17" t="s">
        <v>47</v>
      </c>
      <c r="B17" t="s">
        <v>45</v>
      </c>
      <c r="C17" t="s">
        <v>48</v>
      </c>
      <c r="D17"/>
      <c r="E17" s="3" t="str">
        <f>IF(単一入力[[#This Row],[値]]="","",単一入力[[#This Row],[値]])</f>
        <v/>
      </c>
      <c r="F17" s="6"/>
      <c r="G17" s="3"/>
    </row>
    <row r="18" spans="1:7" x14ac:dyDescent="0.7">
      <c r="A18" t="s">
        <v>49</v>
      </c>
      <c r="B18" t="s">
        <v>45</v>
      </c>
      <c r="C18" t="s">
        <v>50</v>
      </c>
      <c r="D18"/>
      <c r="E18" s="3" t="str">
        <f>IF(単一入力[[#This Row],[値]]="","",単一入力[[#This Row],[値]])</f>
        <v/>
      </c>
      <c r="F18" s="6"/>
      <c r="G18" s="3"/>
    </row>
    <row r="19" spans="1:7" x14ac:dyDescent="0.7">
      <c r="A19" t="s">
        <v>51</v>
      </c>
      <c r="B19" t="s">
        <v>52</v>
      </c>
      <c r="C19" t="s">
        <v>53</v>
      </c>
      <c r="D19"/>
      <c r="E19" s="3" t="str">
        <f>IF(単一入力[[#This Row],[値]]="","",単一入力[[#This Row],[値]])</f>
        <v/>
      </c>
      <c r="F19" s="6"/>
      <c r="G19" s="3"/>
    </row>
    <row r="20" spans="1:7" x14ac:dyDescent="0.7">
      <c r="A20" s="4" t="s">
        <v>54</v>
      </c>
      <c r="B20" s="4" t="s">
        <v>55</v>
      </c>
      <c r="C20" s="4" t="s">
        <v>56</v>
      </c>
      <c r="E20" s="3" t="str">
        <f>IF(単一入力[[#This Row],[値]]="","",単一入力[[#This Row],[値]])</f>
        <v/>
      </c>
      <c r="F20" s="6"/>
      <c r="G20" s="3"/>
    </row>
    <row r="21" spans="1:7" x14ac:dyDescent="0.7">
      <c r="A21" s="4" t="s">
        <v>57</v>
      </c>
      <c r="B21" s="4" t="s">
        <v>55</v>
      </c>
      <c r="C21" s="4" t="s">
        <v>58</v>
      </c>
      <c r="E21" s="3" t="str">
        <f>IF(単一入力[[#This Row],[値]]="","",単一入力[[#This Row],[値]])</f>
        <v/>
      </c>
      <c r="F21" s="6"/>
      <c r="G21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topLeftCell="A2" workbookViewId="0">
      <selection activeCell="A2" sqref="A2"/>
    </sheetView>
  </sheetViews>
  <sheetFormatPr defaultRowHeight="17.649999999999999" x14ac:dyDescent="0.7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7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7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7">
      <c r="A3"/>
      <c r="B3"/>
      <c r="C3" s="3">
        <f>ROUND(用途別面積[[#This Row],[床面積]],1)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ROUND(現場打杭[[#This Row],[コンクリート数量]],1)</f>
        <v>0</v>
      </c>
      <c r="K3" s="3" t="str" cm="1">
        <f t="array" aca="1" ref="K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" s="3" t="str" cm="1">
        <f t="array" aca="1" ref="L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T3" s="3" t="str" cm="1">
        <f t="array" ref="T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" s="3" t="str">
        <f>IFERROR(INDEX(既製杭_map[sheet],MATCH(既製杭[[#This Row],[杭種]],既製杭_map[杭種],0)),"")</f>
        <v/>
      </c>
      <c r="V3" s="3" t="str" cm="1">
        <f t="array" ref="V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"/>
      <c r="Y3"/>
      <c r="Z3"/>
      <c r="AA3" s="3">
        <f>ROUND(現場打コンクリート[[#This Row],[数量]],1)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ROUND(PCaコンクリート_鉄筋無し[[#This Row],[数量]],1)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7">
      <c r="A4" s="5"/>
      <c r="B4" s="5"/>
      <c r="C4" s="3">
        <f>ROUND(用途別面積[[#This Row],[床面積]],1)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3">
        <f>ROUND(現場打杭[[#This Row],[コンクリート数量]],1)</f>
        <v>0</v>
      </c>
      <c r="K4" s="3" t="str" cm="1">
        <f t="array" aca="1" ref="K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" s="3" t="str" cm="1">
        <f t="array" aca="1" ref="L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" s="5"/>
      <c r="O4" s="5"/>
      <c r="P4" s="5"/>
      <c r="Q4" s="5"/>
      <c r="R4" s="5"/>
      <c r="S4" s="5"/>
      <c r="T4" s="3" t="str" cm="1">
        <f t="array" ref="T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" s="3" t="str">
        <f>IFERROR(INDEX(既製杭_map[sheet],MATCH(既製杭[[#This Row],[杭種]],既製杭_map[杭種],0)),"")</f>
        <v/>
      </c>
      <c r="V4" s="3" t="str" cm="1">
        <f t="array" ref="V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" s="5"/>
      <c r="Y4" s="5"/>
      <c r="Z4" s="5"/>
      <c r="AA4" s="3">
        <f>ROUND(現場打コンクリート[[#This Row],[数量]],1)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ROUND(PCaコンクリート_鉄筋無し[[#This Row],[数量]],1)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7">
      <c r="A5" s="5"/>
      <c r="B5" s="5"/>
      <c r="C5" s="3">
        <f>ROUND(用途別面積[[#This Row],[床面積]],1)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3">
        <f>ROUND(現場打杭[[#This Row],[コンクリート数量]],1)</f>
        <v>0</v>
      </c>
      <c r="K5" s="3" t="str" cm="1">
        <f t="array" aca="1" ref="K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" s="3" t="str" cm="1">
        <f t="array" aca="1" ref="L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" s="5"/>
      <c r="O5" s="5"/>
      <c r="P5" s="5"/>
      <c r="Q5" s="5"/>
      <c r="R5" s="5"/>
      <c r="S5" s="5"/>
      <c r="T5" s="3" t="str" cm="1">
        <f t="array" ref="T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" s="3" t="str">
        <f>IFERROR(INDEX(既製杭_map[sheet],MATCH(既製杭[[#This Row],[杭種]],既製杭_map[杭種],0)),"")</f>
        <v/>
      </c>
      <c r="V5" s="3" t="str" cm="1">
        <f t="array" ref="V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" s="5"/>
      <c r="Y5" s="5"/>
      <c r="Z5" s="5"/>
      <c r="AA5" s="3">
        <f>ROUND(現場打コンクリート[[#This Row],[数量]],1)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ROUND(PCaコンクリート_鉄筋無し[[#This Row],[数量]],1)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7">
      <c r="A6" s="5"/>
      <c r="B6" s="5"/>
      <c r="C6" s="3">
        <f>ROUND(用途別面積[[#This Row],[床面積]],1)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3">
        <f>ROUND(現場打杭[[#This Row],[コンクリート数量]],1)</f>
        <v>0</v>
      </c>
      <c r="K6" s="3" t="str" cm="1">
        <f t="array" aca="1" ref="K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" s="3" t="str" cm="1">
        <f t="array" aca="1" ref="L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" s="5"/>
      <c r="O6" s="5"/>
      <c r="P6" s="5"/>
      <c r="Q6" s="5"/>
      <c r="R6" s="5"/>
      <c r="S6" s="5"/>
      <c r="T6" s="3" t="str" cm="1">
        <f t="array" ref="T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" s="3" t="str">
        <f>IFERROR(INDEX(既製杭_map[sheet],MATCH(既製杭[[#This Row],[杭種]],既製杭_map[杭種],0)),"")</f>
        <v/>
      </c>
      <c r="V6" s="3" t="str" cm="1">
        <f t="array" ref="V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" s="5"/>
      <c r="Y6" s="5"/>
      <c r="Z6" s="5"/>
      <c r="AA6" s="3">
        <f>ROUND(現場打コンクリート[[#This Row],[数量]],1)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ROUND(PCaコンクリート_鉄筋無し[[#This Row],[数量]],1)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7">
      <c r="A7" s="5"/>
      <c r="B7" s="5"/>
      <c r="C7" s="3">
        <f>ROUND(用途別面積[[#This Row],[床面積]],1)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3">
        <f>ROUND(現場打杭[[#This Row],[コンクリート数量]],1)</f>
        <v>0</v>
      </c>
      <c r="K7" s="3" t="str" cm="1">
        <f t="array" aca="1" ref="K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" s="3" t="str" cm="1">
        <f t="array" aca="1" ref="L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" s="5"/>
      <c r="O7" s="5"/>
      <c r="P7" s="5"/>
      <c r="Q7" s="5"/>
      <c r="R7" s="5"/>
      <c r="S7" s="5"/>
      <c r="T7" s="3" t="str" cm="1">
        <f t="array" ref="T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" s="3" t="str">
        <f>IFERROR(INDEX(既製杭_map[sheet],MATCH(既製杭[[#This Row],[杭種]],既製杭_map[杭種],0)),"")</f>
        <v/>
      </c>
      <c r="V7" s="3" t="str" cm="1">
        <f t="array" ref="V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" s="5"/>
      <c r="Y7" s="5"/>
      <c r="Z7" s="5"/>
      <c r="AA7" s="3">
        <f>ROUND(現場打コンクリート[[#This Row],[数量]],1)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ROUND(PCaコンクリート_鉄筋無し[[#This Row],[数量]],1)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7">
      <c r="A8" s="5"/>
      <c r="B8" s="5"/>
      <c r="C8" s="3">
        <f>ROUND(用途別面積[[#This Row],[床面積]],1)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3">
        <f>ROUND(現場打杭[[#This Row],[コンクリート数量]],1)</f>
        <v>0</v>
      </c>
      <c r="K8" s="3" t="str" cm="1">
        <f t="array" aca="1" ref="K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" s="3" t="str" cm="1">
        <f t="array" aca="1" ref="L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" s="5"/>
      <c r="O8" s="5"/>
      <c r="P8" s="5"/>
      <c r="Q8" s="5"/>
      <c r="R8" s="5"/>
      <c r="S8" s="5"/>
      <c r="T8" s="3" t="str" cm="1">
        <f t="array" ref="T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" s="3" t="str">
        <f>IFERROR(INDEX(既製杭_map[sheet],MATCH(既製杭[[#This Row],[杭種]],既製杭_map[杭種],0)),"")</f>
        <v/>
      </c>
      <c r="V8" s="3" t="str" cm="1">
        <f t="array" ref="V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" s="5"/>
      <c r="Y8" s="5"/>
      <c r="Z8" s="5"/>
      <c r="AA8" s="3">
        <f>ROUND(現場打コンクリート[[#This Row],[数量]],1)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ROUND(PCaコンクリート_鉄筋無し[[#This Row],[数量]],1)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7">
      <c r="A9" s="5"/>
      <c r="B9" s="5"/>
      <c r="C9" s="3">
        <f>ROUND(用途別面積[[#This Row],[床面積]],1)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3">
        <f>ROUND(現場打杭[[#This Row],[コンクリート数量]],1)</f>
        <v>0</v>
      </c>
      <c r="K9" s="3" t="str" cm="1">
        <f t="array" aca="1" ref="K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" s="3" t="str" cm="1">
        <f t="array" aca="1" ref="L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" s="5"/>
      <c r="O9" s="5"/>
      <c r="P9" s="5"/>
      <c r="Q9" s="5"/>
      <c r="R9" s="5"/>
      <c r="S9" s="5"/>
      <c r="T9" s="3" t="str" cm="1">
        <f t="array" ref="T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" s="3" t="str">
        <f>IFERROR(INDEX(既製杭_map[sheet],MATCH(既製杭[[#This Row],[杭種]],既製杭_map[杭種],0)),"")</f>
        <v/>
      </c>
      <c r="V9" s="3" t="str" cm="1">
        <f t="array" ref="V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" s="5"/>
      <c r="Y9" s="5"/>
      <c r="Z9" s="5"/>
      <c r="AA9" s="3">
        <f>ROUND(現場打コンクリート[[#This Row],[数量]],1)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ROUND(PCaコンクリート_鉄筋無し[[#This Row],[数量]],1)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7">
      <c r="A10" s="5"/>
      <c r="B10" s="5"/>
      <c r="C10" s="3">
        <f>ROUND(用途別面積[[#This Row],[床面積]],1)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3">
        <f>ROUND(現場打杭[[#This Row],[コンクリート数量]],1)</f>
        <v>0</v>
      </c>
      <c r="K10" s="3" t="str" cm="1">
        <f t="array" aca="1" ref="K1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0" s="3" t="str" cm="1">
        <f t="array" aca="1" ref="L1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0" s="5"/>
      <c r="O10" s="5"/>
      <c r="P10" s="5"/>
      <c r="Q10" s="5"/>
      <c r="R10" s="5"/>
      <c r="S10" s="5"/>
      <c r="T10" s="3" t="str" cm="1">
        <f t="array" ref="T1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0" s="3" t="str">
        <f>IFERROR(INDEX(既製杭_map[sheet],MATCH(既製杭[[#This Row],[杭種]],既製杭_map[杭種],0)),"")</f>
        <v/>
      </c>
      <c r="V10" s="3" t="str" cm="1">
        <f t="array" ref="V1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" s="5"/>
      <c r="Y10" s="5"/>
      <c r="Z10" s="5"/>
      <c r="AA10" s="3">
        <f>ROUND(現場打コンクリート[[#This Row],[数量]],1)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ROUND(PCaコンクリート_鉄筋無し[[#This Row],[数量]],1)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7">
      <c r="A11" s="5"/>
      <c r="B11" s="5"/>
      <c r="C11" s="3">
        <f>ROUND(用途別面積[[#This Row],[床面積]],1)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3">
        <f>ROUND(現場打杭[[#This Row],[コンクリート数量]],1)</f>
        <v>0</v>
      </c>
      <c r="K11" s="3" t="str" cm="1">
        <f t="array" aca="1" ref="K1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1" s="3" t="str" cm="1">
        <f t="array" aca="1" ref="L1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1" s="5"/>
      <c r="O11" s="5"/>
      <c r="P11" s="5"/>
      <c r="Q11" s="5"/>
      <c r="R11" s="5"/>
      <c r="S11" s="5"/>
      <c r="T11" s="3" t="str" cm="1">
        <f t="array" ref="T1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1" s="3" t="str">
        <f>IFERROR(INDEX(既製杭_map[sheet],MATCH(既製杭[[#This Row],[杭種]],既製杭_map[杭種],0)),"")</f>
        <v/>
      </c>
      <c r="V11" s="3" t="str" cm="1">
        <f t="array" ref="V1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1" s="5"/>
      <c r="Y11" s="5"/>
      <c r="Z11" s="5"/>
      <c r="AA11" s="3">
        <f>ROUND(現場打コンクリート[[#This Row],[数量]],1)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ROUND(PCaコンクリート_鉄筋無し[[#This Row],[数量]],1)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7">
      <c r="A12" s="5"/>
      <c r="B12" s="5"/>
      <c r="C12" s="3">
        <f>ROUND(用途別面積[[#This Row],[床面積]],1)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3">
        <f>ROUND(現場打杭[[#This Row],[コンクリート数量]],1)</f>
        <v>0</v>
      </c>
      <c r="K12" s="3" t="str" cm="1">
        <f t="array" aca="1" ref="K1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2" s="3" t="str" cm="1">
        <f t="array" aca="1" ref="L1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2" s="5"/>
      <c r="O12" s="5"/>
      <c r="P12" s="5"/>
      <c r="Q12" s="5"/>
      <c r="R12" s="5"/>
      <c r="S12" s="5"/>
      <c r="T12" s="3" t="str" cm="1">
        <f t="array" ref="T1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2" s="3" t="str">
        <f>IFERROR(INDEX(既製杭_map[sheet],MATCH(既製杭[[#This Row],[杭種]],既製杭_map[杭種],0)),"")</f>
        <v/>
      </c>
      <c r="V12" s="3" t="str" cm="1">
        <f t="array" ref="V1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2" s="5"/>
      <c r="Y12" s="5"/>
      <c r="Z12" s="5"/>
      <c r="AA12" s="3">
        <f>ROUND(現場打コンクリート[[#This Row],[数量]],1)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ROUND(PCaコンクリート_鉄筋無し[[#This Row],[数量]],1)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7">
      <c r="A13" s="5"/>
      <c r="B13" s="5"/>
      <c r="C13" s="3">
        <f>ROUND(用途別面積[[#This Row],[床面積]],1)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3">
        <f>ROUND(現場打杭[[#This Row],[コンクリート数量]],1)</f>
        <v>0</v>
      </c>
      <c r="K13" s="3" t="str" cm="1">
        <f t="array" aca="1" ref="K1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3" s="3" t="str" cm="1">
        <f t="array" aca="1" ref="L1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3" s="5"/>
      <c r="O13" s="5"/>
      <c r="P13" s="5"/>
      <c r="Q13" s="5"/>
      <c r="R13" s="5"/>
      <c r="S13" s="5"/>
      <c r="T13" s="3" t="str" cm="1">
        <f t="array" ref="T1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3" s="3" t="str">
        <f>IFERROR(INDEX(既製杭_map[sheet],MATCH(既製杭[[#This Row],[杭種]],既製杭_map[杭種],0)),"")</f>
        <v/>
      </c>
      <c r="V13" s="3" t="str" cm="1">
        <f t="array" ref="V1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3" s="5"/>
      <c r="Y13" s="5"/>
      <c r="Z13" s="5"/>
      <c r="AA13" s="3">
        <f>ROUND(現場打コンクリート[[#This Row],[数量]],1)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ROUND(PCaコンクリート_鉄筋無し[[#This Row],[数量]],1)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7">
      <c r="A14" s="5"/>
      <c r="B14" s="5"/>
      <c r="C14" s="3">
        <f>ROUND(用途別面積[[#This Row],[床面積]],1)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3">
        <f>ROUND(現場打杭[[#This Row],[コンクリート数量]],1)</f>
        <v>0</v>
      </c>
      <c r="K14" s="3" t="str" cm="1">
        <f t="array" aca="1" ref="K1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4" s="3" t="str" cm="1">
        <f t="array" aca="1" ref="L1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4" s="5"/>
      <c r="O14" s="5"/>
      <c r="P14" s="5"/>
      <c r="Q14" s="5"/>
      <c r="R14" s="5"/>
      <c r="S14" s="5"/>
      <c r="T14" s="3" t="str" cm="1">
        <f t="array" ref="T1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4" s="3" t="str">
        <f>IFERROR(INDEX(既製杭_map[sheet],MATCH(既製杭[[#This Row],[杭種]],既製杭_map[杭種],0)),"")</f>
        <v/>
      </c>
      <c r="V14" s="3" t="str" cm="1">
        <f t="array" ref="V1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4" s="5"/>
      <c r="Y14" s="5"/>
      <c r="Z14" s="5"/>
      <c r="AA14" s="3">
        <f>ROUND(現場打コンクリート[[#This Row],[数量]],1)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ROUND(PCaコンクリート_鉄筋無し[[#This Row],[数量]],1)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7">
      <c r="A15" s="5"/>
      <c r="B15" s="5"/>
      <c r="C15" s="3">
        <f>ROUND(用途別面積[[#This Row],[床面積]],1)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3">
        <f>ROUND(現場打杭[[#This Row],[コンクリート数量]],1)</f>
        <v>0</v>
      </c>
      <c r="K15" s="3" t="str" cm="1">
        <f t="array" aca="1" ref="K1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5" s="3" t="str" cm="1">
        <f t="array" aca="1" ref="L1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5" s="5"/>
      <c r="O15" s="5"/>
      <c r="P15" s="5"/>
      <c r="Q15" s="5"/>
      <c r="R15" s="5"/>
      <c r="S15" s="5"/>
      <c r="T15" s="3" t="str" cm="1">
        <f t="array" ref="T1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5" s="3" t="str">
        <f>IFERROR(INDEX(既製杭_map[sheet],MATCH(既製杭[[#This Row],[杭種]],既製杭_map[杭種],0)),"")</f>
        <v/>
      </c>
      <c r="V15" s="3" t="str" cm="1">
        <f t="array" ref="V1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5" s="5"/>
      <c r="Y15" s="5"/>
      <c r="Z15" s="5"/>
      <c r="AA15" s="3">
        <f>ROUND(現場打コンクリート[[#This Row],[数量]],1)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ROUND(PCaコンクリート_鉄筋無し[[#This Row],[数量]],1)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7">
      <c r="A16" s="5"/>
      <c r="B16" s="5"/>
      <c r="C16" s="3">
        <f>ROUND(用途別面積[[#This Row],[床面積]],1)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3">
        <f>ROUND(現場打杭[[#This Row],[コンクリート数量]],1)</f>
        <v>0</v>
      </c>
      <c r="K16" s="3" t="str" cm="1">
        <f t="array" aca="1" ref="K1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6" s="3" t="str" cm="1">
        <f t="array" aca="1" ref="L1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6" s="5"/>
      <c r="O16" s="5"/>
      <c r="P16" s="5"/>
      <c r="Q16" s="5"/>
      <c r="R16" s="5"/>
      <c r="S16" s="5"/>
      <c r="T16" s="3" t="str" cm="1">
        <f t="array" ref="T1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6" s="3" t="str">
        <f>IFERROR(INDEX(既製杭_map[sheet],MATCH(既製杭[[#This Row],[杭種]],既製杭_map[杭種],0)),"")</f>
        <v/>
      </c>
      <c r="V16" s="3" t="str" cm="1">
        <f t="array" ref="V1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6" s="5"/>
      <c r="Y16" s="5"/>
      <c r="Z16" s="5"/>
      <c r="AA16" s="3">
        <f>ROUND(現場打コンクリート[[#This Row],[数量]],1)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ROUND(PCaコンクリート_鉄筋無し[[#This Row],[数量]],1)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7">
      <c r="A17" s="5"/>
      <c r="B17" s="5"/>
      <c r="C17" s="3">
        <f>ROUND(用途別面積[[#This Row],[床面積]],1)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3">
        <f>ROUND(現場打杭[[#This Row],[コンクリート数量]],1)</f>
        <v>0</v>
      </c>
      <c r="K17" s="3" t="str" cm="1">
        <f t="array" aca="1" ref="K1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7" s="3" t="str" cm="1">
        <f t="array" aca="1" ref="L1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7" s="5"/>
      <c r="O17" s="5"/>
      <c r="P17" s="5"/>
      <c r="Q17" s="5"/>
      <c r="R17" s="5"/>
      <c r="S17" s="5"/>
      <c r="T17" s="3" t="str" cm="1">
        <f t="array" ref="T1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7" s="3" t="str">
        <f>IFERROR(INDEX(既製杭_map[sheet],MATCH(既製杭[[#This Row],[杭種]],既製杭_map[杭種],0)),"")</f>
        <v/>
      </c>
      <c r="V17" s="3" t="str" cm="1">
        <f t="array" ref="V1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7" s="5"/>
      <c r="Y17" s="5"/>
      <c r="Z17" s="5"/>
      <c r="AA17" s="3">
        <f>ROUND(現場打コンクリート[[#This Row],[数量]],1)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ROUND(PCaコンクリート_鉄筋無し[[#This Row],[数量]],1)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7">
      <c r="A18" s="5"/>
      <c r="B18" s="5"/>
      <c r="C18" s="3">
        <f>ROUND(用途別面積[[#This Row],[床面積]],1)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3">
        <f>ROUND(現場打杭[[#This Row],[コンクリート数量]],1)</f>
        <v>0</v>
      </c>
      <c r="K18" s="3" t="str" cm="1">
        <f t="array" aca="1" ref="K1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8" s="3" t="str" cm="1">
        <f t="array" aca="1" ref="L1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8" s="5"/>
      <c r="O18" s="5"/>
      <c r="P18" s="5"/>
      <c r="Q18" s="5"/>
      <c r="R18" s="5"/>
      <c r="S18" s="5"/>
      <c r="T18" s="3" t="str" cm="1">
        <f t="array" ref="T1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8" s="3" t="str">
        <f>IFERROR(INDEX(既製杭_map[sheet],MATCH(既製杭[[#This Row],[杭種]],既製杭_map[杭種],0)),"")</f>
        <v/>
      </c>
      <c r="V18" s="3" t="str" cm="1">
        <f t="array" ref="V1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8" s="5"/>
      <c r="Y18" s="5"/>
      <c r="Z18" s="5"/>
      <c r="AA18" s="3">
        <f>ROUND(現場打コンクリート[[#This Row],[数量]],1)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ROUND(PCaコンクリート_鉄筋無し[[#This Row],[数量]],1)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7">
      <c r="A19" s="5"/>
      <c r="B19" s="5"/>
      <c r="C19" s="3">
        <f>ROUND(用途別面積[[#This Row],[床面積]],1)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3">
        <f>ROUND(現場打杭[[#This Row],[コンクリート数量]],1)</f>
        <v>0</v>
      </c>
      <c r="K19" s="3" t="str" cm="1">
        <f t="array" aca="1" ref="K1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9" s="3" t="str" cm="1">
        <f t="array" aca="1" ref="L1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9" s="5"/>
      <c r="O19" s="5"/>
      <c r="P19" s="5"/>
      <c r="Q19" s="5"/>
      <c r="R19" s="5"/>
      <c r="S19" s="5"/>
      <c r="T19" s="3" t="str" cm="1">
        <f t="array" ref="T1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9" s="3" t="str">
        <f>IFERROR(INDEX(既製杭_map[sheet],MATCH(既製杭[[#This Row],[杭種]],既製杭_map[杭種],0)),"")</f>
        <v/>
      </c>
      <c r="V19" s="3" t="str" cm="1">
        <f t="array" ref="V1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9" s="5"/>
      <c r="Y19" s="5"/>
      <c r="Z19" s="5"/>
      <c r="AA19" s="3">
        <f>ROUND(現場打コンクリート[[#This Row],[数量]],1)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ROUND(PCaコンクリート_鉄筋無し[[#This Row],[数量]],1)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7">
      <c r="A20" s="5"/>
      <c r="B20" s="5"/>
      <c r="C20" s="3">
        <f>ROUND(用途別面積[[#This Row],[床面積]],1)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3">
        <f>ROUND(現場打杭[[#This Row],[コンクリート数量]],1)</f>
        <v>0</v>
      </c>
      <c r="K20" s="3" t="str" cm="1">
        <f t="array" aca="1" ref="K2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0" s="3" t="str" cm="1">
        <f t="array" aca="1" ref="L2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0" s="5"/>
      <c r="O20" s="5"/>
      <c r="P20" s="5"/>
      <c r="Q20" s="5"/>
      <c r="R20" s="5"/>
      <c r="S20" s="5"/>
      <c r="T20" s="3" t="str" cm="1">
        <f t="array" ref="T2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0" s="3" t="str">
        <f>IFERROR(INDEX(既製杭_map[sheet],MATCH(既製杭[[#This Row],[杭種]],既製杭_map[杭種],0)),"")</f>
        <v/>
      </c>
      <c r="V20" s="3" t="str" cm="1">
        <f t="array" ref="V2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0" s="5"/>
      <c r="Y20" s="5"/>
      <c r="Z20" s="5"/>
      <c r="AA20" s="3">
        <f>ROUND(現場打コンクリート[[#This Row],[数量]],1)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ROUND(PCaコンクリート_鉄筋無し[[#This Row],[数量]],1)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7">
      <c r="A21" s="5"/>
      <c r="B21" s="5"/>
      <c r="C21" s="3">
        <f>ROUND(用途別面積[[#This Row],[床面積]],1)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3">
        <f>ROUND(現場打杭[[#This Row],[コンクリート数量]],1)</f>
        <v>0</v>
      </c>
      <c r="K21" s="3" t="str" cm="1">
        <f t="array" aca="1" ref="K2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1" s="3" t="str" cm="1">
        <f t="array" aca="1" ref="L2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1" s="5"/>
      <c r="O21" s="5"/>
      <c r="P21" s="5"/>
      <c r="Q21" s="5"/>
      <c r="R21" s="5"/>
      <c r="S21" s="5"/>
      <c r="T21" s="3" t="str" cm="1">
        <f t="array" ref="T2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1" s="3" t="str">
        <f>IFERROR(INDEX(既製杭_map[sheet],MATCH(既製杭[[#This Row],[杭種]],既製杭_map[杭種],0)),"")</f>
        <v/>
      </c>
      <c r="V21" s="3" t="str" cm="1">
        <f t="array" ref="V2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1" s="5"/>
      <c r="Y21" s="5"/>
      <c r="Z21" s="5"/>
      <c r="AA21" s="3">
        <f>ROUND(現場打コンクリート[[#This Row],[数量]],1)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ROUND(PCaコンクリート_鉄筋無し[[#This Row],[数量]],1)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7">
      <c r="A22" s="5"/>
      <c r="B22" s="5"/>
      <c r="C22" s="3">
        <f>ROUND(用途別面積[[#This Row],[床面積]],1)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3">
        <f>ROUND(現場打杭[[#This Row],[コンクリート数量]],1)</f>
        <v>0</v>
      </c>
      <c r="K22" s="3" t="str" cm="1">
        <f t="array" aca="1" ref="K2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2" s="3" t="str" cm="1">
        <f t="array" aca="1" ref="L2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2" s="5"/>
      <c r="O22" s="5"/>
      <c r="P22" s="5"/>
      <c r="Q22" s="5"/>
      <c r="R22" s="5"/>
      <c r="S22" s="5"/>
      <c r="T22" s="3" t="str" cm="1">
        <f t="array" ref="T2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2" s="3" t="str">
        <f>IFERROR(INDEX(既製杭_map[sheet],MATCH(既製杭[[#This Row],[杭種]],既製杭_map[杭種],0)),"")</f>
        <v/>
      </c>
      <c r="V22" s="3" t="str" cm="1">
        <f t="array" ref="V2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2" s="5"/>
      <c r="Y22" s="5"/>
      <c r="Z22" s="5"/>
      <c r="AA22" s="3">
        <f>ROUND(現場打コンクリート[[#This Row],[数量]],1)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ROUND(PCaコンクリート_鉄筋無し[[#This Row],[数量]],1)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7">
      <c r="A23" s="5"/>
      <c r="B23" s="5"/>
      <c r="C23" s="3">
        <f>ROUND(用途別面積[[#This Row],[床面積]],1)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3">
        <f>ROUND(現場打杭[[#This Row],[コンクリート数量]],1)</f>
        <v>0</v>
      </c>
      <c r="K23" s="3" t="str" cm="1">
        <f t="array" aca="1" ref="K2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3" s="3" t="str" cm="1">
        <f t="array" aca="1" ref="L2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3" s="5"/>
      <c r="O23" s="5"/>
      <c r="P23" s="5"/>
      <c r="Q23" s="5"/>
      <c r="R23" s="5"/>
      <c r="S23" s="5"/>
      <c r="T23" s="3" t="str" cm="1">
        <f t="array" ref="T2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3" s="3" t="str">
        <f>IFERROR(INDEX(既製杭_map[sheet],MATCH(既製杭[[#This Row],[杭種]],既製杭_map[杭種],0)),"")</f>
        <v/>
      </c>
      <c r="V23" s="3" t="str" cm="1">
        <f t="array" ref="V2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3" s="5"/>
      <c r="Y23" s="5"/>
      <c r="Z23" s="5"/>
      <c r="AA23" s="3">
        <f>ROUND(現場打コンクリート[[#This Row],[数量]],1)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ROUND(PCaコンクリート_鉄筋無し[[#This Row],[数量]],1)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7">
      <c r="A24" s="5"/>
      <c r="B24" s="5"/>
      <c r="C24" s="3">
        <f>ROUND(用途別面積[[#This Row],[床面積]],1)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3">
        <f>ROUND(現場打杭[[#This Row],[コンクリート数量]],1)</f>
        <v>0</v>
      </c>
      <c r="K24" s="3" t="str" cm="1">
        <f t="array" aca="1" ref="K2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4" s="3" t="str" cm="1">
        <f t="array" aca="1" ref="L2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4" s="5"/>
      <c r="O24" s="5"/>
      <c r="P24" s="5"/>
      <c r="Q24" s="5"/>
      <c r="R24" s="5"/>
      <c r="S24" s="5"/>
      <c r="T24" s="3" t="str" cm="1">
        <f t="array" ref="T2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4" s="3" t="str">
        <f>IFERROR(INDEX(既製杭_map[sheet],MATCH(既製杭[[#This Row],[杭種]],既製杭_map[杭種],0)),"")</f>
        <v/>
      </c>
      <c r="V24" s="3" t="str" cm="1">
        <f t="array" ref="V2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4" s="5"/>
      <c r="Y24" s="5"/>
      <c r="Z24" s="5"/>
      <c r="AA24" s="3">
        <f>ROUND(現場打コンクリート[[#This Row],[数量]],1)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ROUND(PCaコンクリート_鉄筋無し[[#This Row],[数量]],1)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7">
      <c r="A25" s="5"/>
      <c r="B25" s="5"/>
      <c r="C25" s="3">
        <f>ROUND(用途別面積[[#This Row],[床面積]],1)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3">
        <f>ROUND(現場打杭[[#This Row],[コンクリート数量]],1)</f>
        <v>0</v>
      </c>
      <c r="K25" s="3" t="str" cm="1">
        <f t="array" aca="1" ref="K2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5" s="3" t="str" cm="1">
        <f t="array" aca="1" ref="L2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5" s="5"/>
      <c r="O25" s="5"/>
      <c r="P25" s="5"/>
      <c r="Q25" s="5"/>
      <c r="R25" s="5"/>
      <c r="S25" s="5"/>
      <c r="T25" s="3" t="str" cm="1">
        <f t="array" ref="T2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5" s="3" t="str">
        <f>IFERROR(INDEX(既製杭_map[sheet],MATCH(既製杭[[#This Row],[杭種]],既製杭_map[杭種],0)),"")</f>
        <v/>
      </c>
      <c r="V25" s="3" t="str" cm="1">
        <f t="array" ref="V2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5" s="5"/>
      <c r="Y25" s="5"/>
      <c r="Z25" s="5"/>
      <c r="AA25" s="3">
        <f>ROUND(現場打コンクリート[[#This Row],[数量]],1)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ROUND(PCaコンクリート_鉄筋無し[[#This Row],[数量]],1)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7">
      <c r="A26" s="5"/>
      <c r="B26" s="5"/>
      <c r="C26" s="3">
        <f>ROUND(用途別面積[[#This Row],[床面積]],1)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3">
        <f>ROUND(現場打杭[[#This Row],[コンクリート数量]],1)</f>
        <v>0</v>
      </c>
      <c r="K26" s="3" t="str" cm="1">
        <f t="array" aca="1" ref="K2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6" s="3" t="str" cm="1">
        <f t="array" aca="1" ref="L2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6" s="5"/>
      <c r="O26" s="5"/>
      <c r="P26" s="5"/>
      <c r="Q26" s="5"/>
      <c r="R26" s="5"/>
      <c r="S26" s="5"/>
      <c r="T26" s="3" t="str" cm="1">
        <f t="array" ref="T2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6" s="3" t="str">
        <f>IFERROR(INDEX(既製杭_map[sheet],MATCH(既製杭[[#This Row],[杭種]],既製杭_map[杭種],0)),"")</f>
        <v/>
      </c>
      <c r="V26" s="3" t="str" cm="1">
        <f t="array" ref="V2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6" s="5"/>
      <c r="Y26" s="5"/>
      <c r="Z26" s="5"/>
      <c r="AA26" s="3">
        <f>ROUND(現場打コンクリート[[#This Row],[数量]],1)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ROUND(PCaコンクリート_鉄筋無し[[#This Row],[数量]],1)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7">
      <c r="A27" s="5"/>
      <c r="B27" s="5"/>
      <c r="C27" s="3">
        <f>ROUND(用途別面積[[#This Row],[床面積]],1)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3">
        <f>ROUND(現場打杭[[#This Row],[コンクリート数量]],1)</f>
        <v>0</v>
      </c>
      <c r="K27" s="3" t="str" cm="1">
        <f t="array" aca="1" ref="K2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7" s="3" t="str" cm="1">
        <f t="array" aca="1" ref="L2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7" s="5"/>
      <c r="O27" s="5"/>
      <c r="P27" s="5"/>
      <c r="Q27" s="5"/>
      <c r="R27" s="5"/>
      <c r="S27" s="5"/>
      <c r="T27" s="3" t="str" cm="1">
        <f t="array" ref="T2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7" s="3" t="str">
        <f>IFERROR(INDEX(既製杭_map[sheet],MATCH(既製杭[[#This Row],[杭種]],既製杭_map[杭種],0)),"")</f>
        <v/>
      </c>
      <c r="V27" s="3" t="str" cm="1">
        <f t="array" ref="V2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7" s="5"/>
      <c r="Y27" s="5"/>
      <c r="Z27" s="5"/>
      <c r="AA27" s="3">
        <f>ROUND(現場打コンクリート[[#This Row],[数量]],1)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ROUND(PCaコンクリート_鉄筋無し[[#This Row],[数量]],1)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7">
      <c r="A28" s="5"/>
      <c r="B28" s="5"/>
      <c r="C28" s="3">
        <f>ROUND(用途別面積[[#This Row],[床面積]],1)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3">
        <f>ROUND(現場打杭[[#This Row],[コンクリート数量]],1)</f>
        <v>0</v>
      </c>
      <c r="K28" s="3" t="str" cm="1">
        <f t="array" aca="1" ref="K2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8" s="3" t="str" cm="1">
        <f t="array" aca="1" ref="L2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8" s="5"/>
      <c r="O28" s="5"/>
      <c r="P28" s="5"/>
      <c r="Q28" s="5"/>
      <c r="R28" s="5"/>
      <c r="S28" s="5"/>
      <c r="T28" s="3" t="str" cm="1">
        <f t="array" ref="T2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8" s="3" t="str">
        <f>IFERROR(INDEX(既製杭_map[sheet],MATCH(既製杭[[#This Row],[杭種]],既製杭_map[杭種],0)),"")</f>
        <v/>
      </c>
      <c r="V28" s="3" t="str" cm="1">
        <f t="array" ref="V2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8" s="5"/>
      <c r="Y28" s="5"/>
      <c r="Z28" s="5"/>
      <c r="AA28" s="3">
        <f>ROUND(現場打コンクリート[[#This Row],[数量]],1)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ROUND(PCaコンクリート_鉄筋無し[[#This Row],[数量]],1)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7">
      <c r="A29" s="5"/>
      <c r="B29" s="5"/>
      <c r="C29" s="3">
        <f>ROUND(用途別面積[[#This Row],[床面積]],1)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3">
        <f>ROUND(現場打杭[[#This Row],[コンクリート数量]],1)</f>
        <v>0</v>
      </c>
      <c r="K29" s="3" t="str" cm="1">
        <f t="array" aca="1" ref="K2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9" s="3" t="str" cm="1">
        <f t="array" aca="1" ref="L2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9" s="5"/>
      <c r="O29" s="5"/>
      <c r="P29" s="5"/>
      <c r="Q29" s="5"/>
      <c r="R29" s="5"/>
      <c r="S29" s="5"/>
      <c r="T29" s="3" t="str" cm="1">
        <f t="array" ref="T2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9" s="3" t="str">
        <f>IFERROR(INDEX(既製杭_map[sheet],MATCH(既製杭[[#This Row],[杭種]],既製杭_map[杭種],0)),"")</f>
        <v/>
      </c>
      <c r="V29" s="3" t="str" cm="1">
        <f t="array" ref="V2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9" s="5"/>
      <c r="Y29" s="5"/>
      <c r="Z29" s="5"/>
      <c r="AA29" s="3">
        <f>ROUND(現場打コンクリート[[#This Row],[数量]],1)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ROUND(PCaコンクリート_鉄筋無し[[#This Row],[数量]],1)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7">
      <c r="A30" s="5"/>
      <c r="B30" s="5"/>
      <c r="C30" s="3">
        <f>ROUND(用途別面積[[#This Row],[床面積]],1)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3">
        <f>ROUND(現場打杭[[#This Row],[コンクリート数量]],1)</f>
        <v>0</v>
      </c>
      <c r="K30" s="3" t="str" cm="1">
        <f t="array" aca="1" ref="K3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0" s="3" t="str" cm="1">
        <f t="array" aca="1" ref="L3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0" s="5"/>
      <c r="O30" s="5"/>
      <c r="P30" s="5"/>
      <c r="Q30" s="5"/>
      <c r="R30" s="5"/>
      <c r="S30" s="5"/>
      <c r="T30" s="3" t="str" cm="1">
        <f t="array" ref="T3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0" s="3" t="str">
        <f>IFERROR(INDEX(既製杭_map[sheet],MATCH(既製杭[[#This Row],[杭種]],既製杭_map[杭種],0)),"")</f>
        <v/>
      </c>
      <c r="V30" s="3" t="str" cm="1">
        <f t="array" ref="V3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0" s="5"/>
      <c r="Y30" s="5"/>
      <c r="Z30" s="5"/>
      <c r="AA30" s="3">
        <f>ROUND(現場打コンクリート[[#This Row],[数量]],1)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ROUND(PCaコンクリート_鉄筋無し[[#This Row],[数量]],1)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7">
      <c r="A31" s="5"/>
      <c r="B31" s="5"/>
      <c r="C31" s="3">
        <f>ROUND(用途別面積[[#This Row],[床面積]],1)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3">
        <f>ROUND(現場打杭[[#This Row],[コンクリート数量]],1)</f>
        <v>0</v>
      </c>
      <c r="K31" s="3" t="str" cm="1">
        <f t="array" aca="1" ref="K3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1" s="3" t="str" cm="1">
        <f t="array" aca="1" ref="L3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1" s="5"/>
      <c r="O31" s="5"/>
      <c r="P31" s="5"/>
      <c r="Q31" s="5"/>
      <c r="R31" s="5"/>
      <c r="S31" s="5"/>
      <c r="T31" s="3" t="str" cm="1">
        <f t="array" ref="T3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1" s="3" t="str">
        <f>IFERROR(INDEX(既製杭_map[sheet],MATCH(既製杭[[#This Row],[杭種]],既製杭_map[杭種],0)),"")</f>
        <v/>
      </c>
      <c r="V31" s="3" t="str" cm="1">
        <f t="array" ref="V3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1" s="5"/>
      <c r="Y31" s="5"/>
      <c r="Z31" s="5"/>
      <c r="AA31" s="3">
        <f>ROUND(現場打コンクリート[[#This Row],[数量]],1)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ROUND(PCaコンクリート_鉄筋無し[[#This Row],[数量]],1)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7">
      <c r="A32" s="5"/>
      <c r="B32" s="5"/>
      <c r="C32" s="3">
        <f>ROUND(用途別面積[[#This Row],[床面積]],1)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3">
        <f>ROUND(現場打杭[[#This Row],[コンクリート数量]],1)</f>
        <v>0</v>
      </c>
      <c r="K32" s="3" t="str" cm="1">
        <f t="array" aca="1" ref="K3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2" s="3" t="str" cm="1">
        <f t="array" aca="1" ref="L3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2" s="5"/>
      <c r="O32" s="5"/>
      <c r="P32" s="5"/>
      <c r="Q32" s="5"/>
      <c r="R32" s="5"/>
      <c r="S32" s="5"/>
      <c r="T32" s="3" t="str" cm="1">
        <f t="array" ref="T3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2" s="3" t="str">
        <f>IFERROR(INDEX(既製杭_map[sheet],MATCH(既製杭[[#This Row],[杭種]],既製杭_map[杭種],0)),"")</f>
        <v/>
      </c>
      <c r="V32" s="3" t="str" cm="1">
        <f t="array" ref="V3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2" s="5"/>
      <c r="Y32" s="5"/>
      <c r="Z32" s="5"/>
      <c r="AA32" s="3">
        <f>ROUND(現場打コンクリート[[#This Row],[数量]],1)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ROUND(PCaコンクリート_鉄筋無し[[#This Row],[数量]],1)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7">
      <c r="A33" s="5"/>
      <c r="B33" s="5"/>
      <c r="C33" s="3">
        <f>ROUND(用途別面積[[#This Row],[床面積]],1)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3">
        <f>ROUND(現場打杭[[#This Row],[コンクリート数量]],1)</f>
        <v>0</v>
      </c>
      <c r="K33" s="3" t="str" cm="1">
        <f t="array" aca="1" ref="K3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3" s="3" t="str" cm="1">
        <f t="array" aca="1" ref="L3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3" s="5"/>
      <c r="O33" s="5"/>
      <c r="P33" s="5"/>
      <c r="Q33" s="5"/>
      <c r="R33" s="5"/>
      <c r="S33" s="5"/>
      <c r="T33" s="3" t="str" cm="1">
        <f t="array" ref="T3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3" s="3" t="str">
        <f>IFERROR(INDEX(既製杭_map[sheet],MATCH(既製杭[[#This Row],[杭種]],既製杭_map[杭種],0)),"")</f>
        <v/>
      </c>
      <c r="V33" s="3" t="str" cm="1">
        <f t="array" ref="V3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3" s="5"/>
      <c r="Y33" s="5"/>
      <c r="Z33" s="5"/>
      <c r="AA33" s="3">
        <f>ROUND(現場打コンクリート[[#This Row],[数量]],1)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ROUND(PCaコンクリート_鉄筋無し[[#This Row],[数量]],1)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7">
      <c r="A34" s="5"/>
      <c r="B34" s="5"/>
      <c r="C34" s="3">
        <f>ROUND(用途別面積[[#This Row],[床面積]],1)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3">
        <f>ROUND(現場打杭[[#This Row],[コンクリート数量]],1)</f>
        <v>0</v>
      </c>
      <c r="K34" s="3" t="str" cm="1">
        <f t="array" aca="1" ref="K3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4" s="3" t="str" cm="1">
        <f t="array" aca="1" ref="L3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4" s="5"/>
      <c r="O34" s="5"/>
      <c r="P34" s="5"/>
      <c r="Q34" s="5"/>
      <c r="R34" s="5"/>
      <c r="S34" s="5"/>
      <c r="T34" s="3" t="str" cm="1">
        <f t="array" ref="T3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4" s="3" t="str">
        <f>IFERROR(INDEX(既製杭_map[sheet],MATCH(既製杭[[#This Row],[杭種]],既製杭_map[杭種],0)),"")</f>
        <v/>
      </c>
      <c r="V34" s="3" t="str" cm="1">
        <f t="array" ref="V3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4" s="5"/>
      <c r="Y34" s="5"/>
      <c r="Z34" s="5"/>
      <c r="AA34" s="3">
        <f>ROUND(現場打コンクリート[[#This Row],[数量]],1)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ROUND(PCaコンクリート_鉄筋無し[[#This Row],[数量]],1)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7">
      <c r="A35" s="5"/>
      <c r="B35" s="5"/>
      <c r="C35" s="3">
        <f>ROUND(用途別面積[[#This Row],[床面積]],1)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3">
        <f>ROUND(現場打杭[[#This Row],[コンクリート数量]],1)</f>
        <v>0</v>
      </c>
      <c r="K35" s="3" t="str" cm="1">
        <f t="array" aca="1" ref="K3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5" s="3" t="str" cm="1">
        <f t="array" aca="1" ref="L3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5" s="5"/>
      <c r="O35" s="5"/>
      <c r="P35" s="5"/>
      <c r="Q35" s="5"/>
      <c r="R35" s="5"/>
      <c r="S35" s="5"/>
      <c r="T35" s="3" t="str" cm="1">
        <f t="array" ref="T3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5" s="3" t="str">
        <f>IFERROR(INDEX(既製杭_map[sheet],MATCH(既製杭[[#This Row],[杭種]],既製杭_map[杭種],0)),"")</f>
        <v/>
      </c>
      <c r="V35" s="3" t="str" cm="1">
        <f t="array" ref="V3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5" s="5"/>
      <c r="Y35" s="5"/>
      <c r="Z35" s="5"/>
      <c r="AA35" s="3">
        <f>ROUND(現場打コンクリート[[#This Row],[数量]],1)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ROUND(PCaコンクリート_鉄筋無し[[#This Row],[数量]],1)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7">
      <c r="A36" s="5"/>
      <c r="B36" s="5"/>
      <c r="C36" s="3">
        <f>ROUND(用途別面積[[#This Row],[床面積]],1)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3">
        <f>ROUND(現場打杭[[#This Row],[コンクリート数量]],1)</f>
        <v>0</v>
      </c>
      <c r="K36" s="3" t="str" cm="1">
        <f t="array" aca="1" ref="K3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6" s="3" t="str" cm="1">
        <f t="array" aca="1" ref="L3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6" s="5"/>
      <c r="O36" s="5"/>
      <c r="P36" s="5"/>
      <c r="Q36" s="5"/>
      <c r="R36" s="5"/>
      <c r="S36" s="5"/>
      <c r="T36" s="3" t="str" cm="1">
        <f t="array" ref="T3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6" s="3" t="str">
        <f>IFERROR(INDEX(既製杭_map[sheet],MATCH(既製杭[[#This Row],[杭種]],既製杭_map[杭種],0)),"")</f>
        <v/>
      </c>
      <c r="V36" s="3" t="str" cm="1">
        <f t="array" ref="V3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6" s="5"/>
      <c r="Y36" s="5"/>
      <c r="Z36" s="5"/>
      <c r="AA36" s="3">
        <f>ROUND(現場打コンクリート[[#This Row],[数量]],1)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ROUND(PCaコンクリート_鉄筋無し[[#This Row],[数量]],1)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7">
      <c r="A37" s="5"/>
      <c r="B37" s="5"/>
      <c r="C37" s="3">
        <f>ROUND(用途別面積[[#This Row],[床面積]],1)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3">
        <f>ROUND(現場打杭[[#This Row],[コンクリート数量]],1)</f>
        <v>0</v>
      </c>
      <c r="K37" s="3" t="str" cm="1">
        <f t="array" aca="1" ref="K3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7" s="3" t="str" cm="1">
        <f t="array" aca="1" ref="L3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7" s="5"/>
      <c r="O37" s="5"/>
      <c r="P37" s="5"/>
      <c r="Q37" s="5"/>
      <c r="R37" s="5"/>
      <c r="S37" s="5"/>
      <c r="T37" s="3" t="str" cm="1">
        <f t="array" ref="T3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7" s="3" t="str">
        <f>IFERROR(INDEX(既製杭_map[sheet],MATCH(既製杭[[#This Row],[杭種]],既製杭_map[杭種],0)),"")</f>
        <v/>
      </c>
      <c r="V37" s="3" t="str" cm="1">
        <f t="array" ref="V3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7" s="5"/>
      <c r="Y37" s="5"/>
      <c r="Z37" s="5"/>
      <c r="AA37" s="3">
        <f>ROUND(現場打コンクリート[[#This Row],[数量]],1)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ROUND(PCaコンクリート_鉄筋無し[[#This Row],[数量]],1)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7">
      <c r="A38" s="5"/>
      <c r="B38" s="5"/>
      <c r="C38" s="3">
        <f>ROUND(用途別面積[[#This Row],[床面積]],1)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3">
        <f>ROUND(現場打杭[[#This Row],[コンクリート数量]],1)</f>
        <v>0</v>
      </c>
      <c r="K38" s="3" t="str" cm="1">
        <f t="array" aca="1" ref="K3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8" s="3" t="str" cm="1">
        <f t="array" aca="1" ref="L3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8" s="5"/>
      <c r="O38" s="5"/>
      <c r="P38" s="5"/>
      <c r="Q38" s="5"/>
      <c r="R38" s="5"/>
      <c r="S38" s="5"/>
      <c r="T38" s="3" t="str" cm="1">
        <f t="array" ref="T3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8" s="3" t="str">
        <f>IFERROR(INDEX(既製杭_map[sheet],MATCH(既製杭[[#This Row],[杭種]],既製杭_map[杭種],0)),"")</f>
        <v/>
      </c>
      <c r="V38" s="3" t="str" cm="1">
        <f t="array" ref="V3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8" s="5"/>
      <c r="Y38" s="5"/>
      <c r="Z38" s="5"/>
      <c r="AA38" s="3">
        <f>ROUND(現場打コンクリート[[#This Row],[数量]],1)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ROUND(PCaコンクリート_鉄筋無し[[#This Row],[数量]],1)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7">
      <c r="A39" s="5"/>
      <c r="B39" s="5"/>
      <c r="C39" s="3">
        <f>ROUND(用途別面積[[#This Row],[床面積]],1)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3">
        <f>ROUND(現場打杭[[#This Row],[コンクリート数量]],1)</f>
        <v>0</v>
      </c>
      <c r="K39" s="3" t="str" cm="1">
        <f t="array" aca="1" ref="K3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9" s="3" t="str" cm="1">
        <f t="array" aca="1" ref="L3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9" s="5"/>
      <c r="O39" s="5"/>
      <c r="P39" s="5"/>
      <c r="Q39" s="5"/>
      <c r="R39" s="5"/>
      <c r="S39" s="5"/>
      <c r="T39" s="3" t="str" cm="1">
        <f t="array" ref="T3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9" s="3" t="str">
        <f>IFERROR(INDEX(既製杭_map[sheet],MATCH(既製杭[[#This Row],[杭種]],既製杭_map[杭種],0)),"")</f>
        <v/>
      </c>
      <c r="V39" s="3" t="str" cm="1">
        <f t="array" ref="V3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9" s="5"/>
      <c r="Y39" s="5"/>
      <c r="Z39" s="5"/>
      <c r="AA39" s="3">
        <f>ROUND(現場打コンクリート[[#This Row],[数量]],1)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ROUND(PCaコンクリート_鉄筋無し[[#This Row],[数量]],1)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7">
      <c r="A40" s="5"/>
      <c r="B40" s="5"/>
      <c r="C40" s="3">
        <f>ROUND(用途別面積[[#This Row],[床面積]],1)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3">
        <f>ROUND(現場打杭[[#This Row],[コンクリート数量]],1)</f>
        <v>0</v>
      </c>
      <c r="K40" s="3" t="str" cm="1">
        <f t="array" aca="1" ref="K4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0" s="3" t="str" cm="1">
        <f t="array" aca="1" ref="L4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0" s="5"/>
      <c r="O40" s="5"/>
      <c r="P40" s="5"/>
      <c r="Q40" s="5"/>
      <c r="R40" s="5"/>
      <c r="S40" s="5"/>
      <c r="T40" s="3" t="str" cm="1">
        <f t="array" ref="T4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0" s="3" t="str">
        <f>IFERROR(INDEX(既製杭_map[sheet],MATCH(既製杭[[#This Row],[杭種]],既製杭_map[杭種],0)),"")</f>
        <v/>
      </c>
      <c r="V40" s="3" t="str" cm="1">
        <f t="array" ref="V4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0" s="5"/>
      <c r="Y40" s="5"/>
      <c r="Z40" s="5"/>
      <c r="AA40" s="3">
        <f>ROUND(現場打コンクリート[[#This Row],[数量]],1)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ROUND(PCaコンクリート_鉄筋無し[[#This Row],[数量]],1)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7">
      <c r="A41" s="5"/>
      <c r="B41" s="5"/>
      <c r="C41" s="3">
        <f>ROUND(用途別面積[[#This Row],[床面積]],1)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3">
        <f>ROUND(現場打杭[[#This Row],[コンクリート数量]],1)</f>
        <v>0</v>
      </c>
      <c r="K41" s="3" t="str" cm="1">
        <f t="array" aca="1" ref="K4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1" s="3" t="str" cm="1">
        <f t="array" aca="1" ref="L4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1" s="5"/>
      <c r="O41" s="5"/>
      <c r="P41" s="5"/>
      <c r="Q41" s="5"/>
      <c r="R41" s="5"/>
      <c r="S41" s="5"/>
      <c r="T41" s="3" t="str" cm="1">
        <f t="array" ref="T4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1" s="3" t="str">
        <f>IFERROR(INDEX(既製杭_map[sheet],MATCH(既製杭[[#This Row],[杭種]],既製杭_map[杭種],0)),"")</f>
        <v/>
      </c>
      <c r="V41" s="3" t="str" cm="1">
        <f t="array" ref="V4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1" s="5"/>
      <c r="Y41" s="5"/>
      <c r="Z41" s="5"/>
      <c r="AA41" s="3">
        <f>ROUND(現場打コンクリート[[#This Row],[数量]],1)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ROUND(PCaコンクリート_鉄筋無し[[#This Row],[数量]],1)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7">
      <c r="A42" s="5"/>
      <c r="B42" s="5"/>
      <c r="C42" s="3">
        <f>ROUND(用途別面積[[#This Row],[床面積]],1)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3">
        <f>ROUND(現場打杭[[#This Row],[コンクリート数量]],1)</f>
        <v>0</v>
      </c>
      <c r="K42" s="3" t="str" cm="1">
        <f t="array" aca="1" ref="K4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2" s="3" t="str" cm="1">
        <f t="array" aca="1" ref="L4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2" s="5"/>
      <c r="O42" s="5"/>
      <c r="P42" s="5"/>
      <c r="Q42" s="5"/>
      <c r="R42" s="5"/>
      <c r="S42" s="5"/>
      <c r="T42" s="3" t="str" cm="1">
        <f t="array" ref="T4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2" s="3" t="str">
        <f>IFERROR(INDEX(既製杭_map[sheet],MATCH(既製杭[[#This Row],[杭種]],既製杭_map[杭種],0)),"")</f>
        <v/>
      </c>
      <c r="V42" s="3" t="str" cm="1">
        <f t="array" ref="V4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2" s="5"/>
      <c r="Y42" s="5"/>
      <c r="Z42" s="5"/>
      <c r="AA42" s="3">
        <f>ROUND(現場打コンクリート[[#This Row],[数量]],1)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ROUND(PCaコンクリート_鉄筋無し[[#This Row],[数量]],1)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7">
      <c r="A43" s="5"/>
      <c r="B43" s="5"/>
      <c r="C43" s="3">
        <f>ROUND(用途別面積[[#This Row],[床面積]],1)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3">
        <f>ROUND(現場打杭[[#This Row],[コンクリート数量]],1)</f>
        <v>0</v>
      </c>
      <c r="K43" s="3" t="str" cm="1">
        <f t="array" aca="1" ref="K4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3" s="3" t="str" cm="1">
        <f t="array" aca="1" ref="L4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3" s="5"/>
      <c r="O43" s="5"/>
      <c r="P43" s="5"/>
      <c r="Q43" s="5"/>
      <c r="R43" s="5"/>
      <c r="S43" s="5"/>
      <c r="T43" s="3" t="str" cm="1">
        <f t="array" ref="T4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3" s="3" t="str">
        <f>IFERROR(INDEX(既製杭_map[sheet],MATCH(既製杭[[#This Row],[杭種]],既製杭_map[杭種],0)),"")</f>
        <v/>
      </c>
      <c r="V43" s="3" t="str" cm="1">
        <f t="array" ref="V4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3" s="5"/>
      <c r="Y43" s="5"/>
      <c r="Z43" s="5"/>
      <c r="AA43" s="3">
        <f>ROUND(現場打コンクリート[[#This Row],[数量]],1)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ROUND(PCaコンクリート_鉄筋無し[[#This Row],[数量]],1)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7">
      <c r="A44" s="5"/>
      <c r="B44" s="5"/>
      <c r="C44" s="3">
        <f>ROUND(用途別面積[[#This Row],[床面積]],1)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3">
        <f>ROUND(現場打杭[[#This Row],[コンクリート数量]],1)</f>
        <v>0</v>
      </c>
      <c r="K44" s="3" t="str" cm="1">
        <f t="array" aca="1" ref="K4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4" s="3" t="str" cm="1">
        <f t="array" aca="1" ref="L4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4" s="5"/>
      <c r="O44" s="5"/>
      <c r="P44" s="5"/>
      <c r="Q44" s="5"/>
      <c r="R44" s="5"/>
      <c r="S44" s="5"/>
      <c r="T44" s="3" t="str" cm="1">
        <f t="array" ref="T4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4" s="3" t="str">
        <f>IFERROR(INDEX(既製杭_map[sheet],MATCH(既製杭[[#This Row],[杭種]],既製杭_map[杭種],0)),"")</f>
        <v/>
      </c>
      <c r="V44" s="3" t="str" cm="1">
        <f t="array" ref="V4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4" s="5"/>
      <c r="Y44" s="5"/>
      <c r="Z44" s="5"/>
      <c r="AA44" s="3">
        <f>ROUND(現場打コンクリート[[#This Row],[数量]],1)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ROUND(PCaコンクリート_鉄筋無し[[#This Row],[数量]],1)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7">
      <c r="A45" s="5"/>
      <c r="B45" s="5"/>
      <c r="C45" s="3">
        <f>ROUND(用途別面積[[#This Row],[床面積]],1)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3">
        <f>ROUND(現場打杭[[#This Row],[コンクリート数量]],1)</f>
        <v>0</v>
      </c>
      <c r="K45" s="3" t="str" cm="1">
        <f t="array" aca="1" ref="K4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5" s="3" t="str" cm="1">
        <f t="array" aca="1" ref="L4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5" s="5"/>
      <c r="O45" s="5"/>
      <c r="P45" s="5"/>
      <c r="Q45" s="5"/>
      <c r="R45" s="5"/>
      <c r="S45" s="5"/>
      <c r="T45" s="3" t="str" cm="1">
        <f t="array" ref="T4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5" s="3" t="str">
        <f>IFERROR(INDEX(既製杭_map[sheet],MATCH(既製杭[[#This Row],[杭種]],既製杭_map[杭種],0)),"")</f>
        <v/>
      </c>
      <c r="V45" s="3" t="str" cm="1">
        <f t="array" ref="V4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5" s="5"/>
      <c r="Y45" s="5"/>
      <c r="Z45" s="5"/>
      <c r="AA45" s="3">
        <f>ROUND(現場打コンクリート[[#This Row],[数量]],1)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ROUND(PCaコンクリート_鉄筋無し[[#This Row],[数量]],1)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7">
      <c r="A46" s="5"/>
      <c r="B46" s="5"/>
      <c r="C46" s="3">
        <f>ROUND(用途別面積[[#This Row],[床面積]],1)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3">
        <f>ROUND(現場打杭[[#This Row],[コンクリート数量]],1)</f>
        <v>0</v>
      </c>
      <c r="K46" s="3" t="str" cm="1">
        <f t="array" aca="1" ref="K4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6" s="3" t="str" cm="1">
        <f t="array" aca="1" ref="L4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6" s="5"/>
      <c r="O46" s="5"/>
      <c r="P46" s="5"/>
      <c r="Q46" s="5"/>
      <c r="R46" s="5"/>
      <c r="S46" s="5"/>
      <c r="T46" s="3" t="str" cm="1">
        <f t="array" ref="T4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6" s="3" t="str">
        <f>IFERROR(INDEX(既製杭_map[sheet],MATCH(既製杭[[#This Row],[杭種]],既製杭_map[杭種],0)),"")</f>
        <v/>
      </c>
      <c r="V46" s="3" t="str" cm="1">
        <f t="array" ref="V4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6" s="5"/>
      <c r="Y46" s="5"/>
      <c r="Z46" s="5"/>
      <c r="AA46" s="3">
        <f>ROUND(現場打コンクリート[[#This Row],[数量]],1)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ROUND(PCaコンクリート_鉄筋無し[[#This Row],[数量]],1)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7">
      <c r="A47" s="5"/>
      <c r="B47" s="5"/>
      <c r="C47" s="3">
        <f>ROUND(用途別面積[[#This Row],[床面積]],1)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3">
        <f>ROUND(現場打杭[[#This Row],[コンクリート数量]],1)</f>
        <v>0</v>
      </c>
      <c r="K47" s="3" t="str" cm="1">
        <f t="array" aca="1" ref="K4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7" s="3" t="str" cm="1">
        <f t="array" aca="1" ref="L4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7" s="5"/>
      <c r="O47" s="5"/>
      <c r="P47" s="5"/>
      <c r="Q47" s="5"/>
      <c r="R47" s="5"/>
      <c r="S47" s="5"/>
      <c r="T47" s="3" t="str" cm="1">
        <f t="array" ref="T4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7" s="3" t="str">
        <f>IFERROR(INDEX(既製杭_map[sheet],MATCH(既製杭[[#This Row],[杭種]],既製杭_map[杭種],0)),"")</f>
        <v/>
      </c>
      <c r="V47" s="3" t="str" cm="1">
        <f t="array" ref="V4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7" s="5"/>
      <c r="Y47" s="5"/>
      <c r="Z47" s="5"/>
      <c r="AA47" s="3">
        <f>ROUND(現場打コンクリート[[#This Row],[数量]],1)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ROUND(PCaコンクリート_鉄筋無し[[#This Row],[数量]],1)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7">
      <c r="A48" s="5"/>
      <c r="B48" s="5"/>
      <c r="C48" s="3">
        <f>ROUND(用途別面積[[#This Row],[床面積]],1)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3">
        <f>ROUND(現場打杭[[#This Row],[コンクリート数量]],1)</f>
        <v>0</v>
      </c>
      <c r="K48" s="3" t="str" cm="1">
        <f t="array" aca="1" ref="K4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8" s="3" t="str" cm="1">
        <f t="array" aca="1" ref="L4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8" s="5"/>
      <c r="O48" s="5"/>
      <c r="P48" s="5"/>
      <c r="Q48" s="5"/>
      <c r="R48" s="5"/>
      <c r="S48" s="5"/>
      <c r="T48" s="3" t="str" cm="1">
        <f t="array" ref="T4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8" s="3" t="str">
        <f>IFERROR(INDEX(既製杭_map[sheet],MATCH(既製杭[[#This Row],[杭種]],既製杭_map[杭種],0)),"")</f>
        <v/>
      </c>
      <c r="V48" s="3" t="str" cm="1">
        <f t="array" ref="V4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8" s="5"/>
      <c r="Y48" s="5"/>
      <c r="Z48" s="5"/>
      <c r="AA48" s="3">
        <f>ROUND(現場打コンクリート[[#This Row],[数量]],1)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ROUND(PCaコンクリート_鉄筋無し[[#This Row],[数量]],1)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7">
      <c r="A49" s="5"/>
      <c r="B49" s="5"/>
      <c r="C49" s="3">
        <f>ROUND(用途別面積[[#This Row],[床面積]],1)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3">
        <f>ROUND(現場打杭[[#This Row],[コンクリート数量]],1)</f>
        <v>0</v>
      </c>
      <c r="K49" s="3" t="str" cm="1">
        <f t="array" aca="1" ref="K4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9" s="3" t="str" cm="1">
        <f t="array" aca="1" ref="L4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9" s="5"/>
      <c r="O49" s="5"/>
      <c r="P49" s="5"/>
      <c r="Q49" s="5"/>
      <c r="R49" s="5"/>
      <c r="S49" s="5"/>
      <c r="T49" s="3" t="str" cm="1">
        <f t="array" ref="T4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9" s="3" t="str">
        <f>IFERROR(INDEX(既製杭_map[sheet],MATCH(既製杭[[#This Row],[杭種]],既製杭_map[杭種],0)),"")</f>
        <v/>
      </c>
      <c r="V49" s="3" t="str" cm="1">
        <f t="array" ref="V4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9" s="5"/>
      <c r="Y49" s="5"/>
      <c r="Z49" s="5"/>
      <c r="AA49" s="3">
        <f>ROUND(現場打コンクリート[[#This Row],[数量]],1)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ROUND(PCaコンクリート_鉄筋無し[[#This Row],[数量]],1)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7">
      <c r="A50" s="5"/>
      <c r="B50" s="5"/>
      <c r="C50" s="3">
        <f>ROUND(用途別面積[[#This Row],[床面積]],1)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3">
        <f>ROUND(現場打杭[[#This Row],[コンクリート数量]],1)</f>
        <v>0</v>
      </c>
      <c r="K50" s="3" t="str" cm="1">
        <f t="array" aca="1" ref="K5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0" s="3" t="str" cm="1">
        <f t="array" aca="1" ref="L5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0" s="5"/>
      <c r="O50" s="5"/>
      <c r="P50" s="5"/>
      <c r="Q50" s="5"/>
      <c r="R50" s="5"/>
      <c r="S50" s="5"/>
      <c r="T50" s="3" t="str" cm="1">
        <f t="array" ref="T5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0" s="3" t="str">
        <f>IFERROR(INDEX(既製杭_map[sheet],MATCH(既製杭[[#This Row],[杭種]],既製杭_map[杭種],0)),"")</f>
        <v/>
      </c>
      <c r="V50" s="3" t="str" cm="1">
        <f t="array" ref="V5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0" s="5"/>
      <c r="Y50" s="5"/>
      <c r="Z50" s="5"/>
      <c r="AA50" s="3">
        <f>ROUND(現場打コンクリート[[#This Row],[数量]],1)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ROUND(PCaコンクリート_鉄筋無し[[#This Row],[数量]],1)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7">
      <c r="A51" s="5"/>
      <c r="B51" s="5"/>
      <c r="C51" s="3">
        <f>ROUND(用途別面積[[#This Row],[床面積]],1)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3">
        <f>ROUND(現場打杭[[#This Row],[コンクリート数量]],1)</f>
        <v>0</v>
      </c>
      <c r="K51" s="3" t="str" cm="1">
        <f t="array" aca="1" ref="K5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1" s="3" t="str" cm="1">
        <f t="array" aca="1" ref="L5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1" s="5"/>
      <c r="O51" s="5"/>
      <c r="P51" s="5"/>
      <c r="Q51" s="5"/>
      <c r="R51" s="5"/>
      <c r="S51" s="5"/>
      <c r="T51" s="3" t="str" cm="1">
        <f t="array" ref="T5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1" s="3" t="str">
        <f>IFERROR(INDEX(既製杭_map[sheet],MATCH(既製杭[[#This Row],[杭種]],既製杭_map[杭種],0)),"")</f>
        <v/>
      </c>
      <c r="V51" s="3" t="str" cm="1">
        <f t="array" ref="V5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1" s="5"/>
      <c r="Y51" s="5"/>
      <c r="Z51" s="5"/>
      <c r="AA51" s="3">
        <f>ROUND(現場打コンクリート[[#This Row],[数量]],1)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ROUND(PCaコンクリート_鉄筋無し[[#This Row],[数量]],1)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7">
      <c r="A52" s="5"/>
      <c r="B52" s="5"/>
      <c r="C52" s="3">
        <f>ROUND(用途別面積[[#This Row],[床面積]],1)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3">
        <f>ROUND(現場打杭[[#This Row],[コンクリート数量]],1)</f>
        <v>0</v>
      </c>
      <c r="K52" s="3" t="str" cm="1">
        <f t="array" aca="1" ref="K5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2" s="3" t="str" cm="1">
        <f t="array" aca="1" ref="L5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2" s="5"/>
      <c r="O52" s="5"/>
      <c r="P52" s="5"/>
      <c r="Q52" s="5"/>
      <c r="R52" s="5"/>
      <c r="S52" s="5"/>
      <c r="T52" s="3" t="str" cm="1">
        <f t="array" ref="T5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2" s="3" t="str">
        <f>IFERROR(INDEX(既製杭_map[sheet],MATCH(既製杭[[#This Row],[杭種]],既製杭_map[杭種],0)),"")</f>
        <v/>
      </c>
      <c r="V52" s="3" t="str" cm="1">
        <f t="array" ref="V5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2" s="5"/>
      <c r="Y52" s="5"/>
      <c r="Z52" s="5"/>
      <c r="AA52" s="3">
        <f>ROUND(現場打コンクリート[[#This Row],[数量]],1)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ROUND(PCaコンクリート_鉄筋無し[[#This Row],[数量]],1)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7">
      <c r="A53" s="5"/>
      <c r="B53" s="5"/>
      <c r="C53" s="3">
        <f>ROUND(用途別面積[[#This Row],[床面積]],1)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3">
        <f>ROUND(現場打杭[[#This Row],[コンクリート数量]],1)</f>
        <v>0</v>
      </c>
      <c r="K53" s="3" t="str" cm="1">
        <f t="array" aca="1" ref="K5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3" s="3" t="str" cm="1">
        <f t="array" aca="1" ref="L5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3" s="5"/>
      <c r="O53" s="5"/>
      <c r="P53" s="5"/>
      <c r="Q53" s="5"/>
      <c r="R53" s="5"/>
      <c r="S53" s="5"/>
      <c r="T53" s="3" t="str" cm="1">
        <f t="array" ref="T5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3" s="3" t="str">
        <f>IFERROR(INDEX(既製杭_map[sheet],MATCH(既製杭[[#This Row],[杭種]],既製杭_map[杭種],0)),"")</f>
        <v/>
      </c>
      <c r="V53" s="3" t="str" cm="1">
        <f t="array" ref="V5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3" s="5"/>
      <c r="Y53" s="5"/>
      <c r="Z53" s="5"/>
      <c r="AA53" s="3">
        <f>ROUND(現場打コンクリート[[#This Row],[数量]],1)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ROUND(PCaコンクリート_鉄筋無し[[#This Row],[数量]],1)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7">
      <c r="A54" s="5"/>
      <c r="B54" s="5"/>
      <c r="C54" s="3">
        <f>ROUND(用途別面積[[#This Row],[床面積]],1)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3">
        <f>ROUND(現場打杭[[#This Row],[コンクリート数量]],1)</f>
        <v>0</v>
      </c>
      <c r="K54" s="3" t="str" cm="1">
        <f t="array" aca="1" ref="K5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4" s="3" t="str" cm="1">
        <f t="array" aca="1" ref="L5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4" s="5"/>
      <c r="O54" s="5"/>
      <c r="P54" s="5"/>
      <c r="Q54" s="5"/>
      <c r="R54" s="5"/>
      <c r="S54" s="5"/>
      <c r="T54" s="3" t="str" cm="1">
        <f t="array" ref="T5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4" s="3" t="str">
        <f>IFERROR(INDEX(既製杭_map[sheet],MATCH(既製杭[[#This Row],[杭種]],既製杭_map[杭種],0)),"")</f>
        <v/>
      </c>
      <c r="V54" s="3" t="str" cm="1">
        <f t="array" ref="V5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4" s="5"/>
      <c r="Y54" s="5"/>
      <c r="Z54" s="5"/>
      <c r="AA54" s="3">
        <f>ROUND(現場打コンクリート[[#This Row],[数量]],1)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ROUND(PCaコンクリート_鉄筋無し[[#This Row],[数量]],1)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7">
      <c r="A55" s="5"/>
      <c r="B55" s="5"/>
      <c r="C55" s="3">
        <f>ROUND(用途別面積[[#This Row],[床面積]],1)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3">
        <f>ROUND(現場打杭[[#This Row],[コンクリート数量]],1)</f>
        <v>0</v>
      </c>
      <c r="K55" s="3" t="str" cm="1">
        <f t="array" aca="1" ref="K5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5" s="3" t="str" cm="1">
        <f t="array" aca="1" ref="L5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5" s="5"/>
      <c r="O55" s="5"/>
      <c r="P55" s="5"/>
      <c r="Q55" s="5"/>
      <c r="R55" s="5"/>
      <c r="S55" s="5"/>
      <c r="T55" s="3" t="str" cm="1">
        <f t="array" ref="T5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5" s="3" t="str">
        <f>IFERROR(INDEX(既製杭_map[sheet],MATCH(既製杭[[#This Row],[杭種]],既製杭_map[杭種],0)),"")</f>
        <v/>
      </c>
      <c r="V55" s="3" t="str" cm="1">
        <f t="array" ref="V5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5" s="5"/>
      <c r="Y55" s="5"/>
      <c r="Z55" s="5"/>
      <c r="AA55" s="3">
        <f>ROUND(現場打コンクリート[[#This Row],[数量]],1)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ROUND(PCaコンクリート_鉄筋無し[[#This Row],[数量]],1)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7">
      <c r="A56" s="5"/>
      <c r="B56" s="5"/>
      <c r="C56" s="3">
        <f>ROUND(用途別面積[[#This Row],[床面積]],1)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3">
        <f>ROUND(現場打杭[[#This Row],[コンクリート数量]],1)</f>
        <v>0</v>
      </c>
      <c r="K56" s="3" t="str" cm="1">
        <f t="array" aca="1" ref="K5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6" s="3" t="str" cm="1">
        <f t="array" aca="1" ref="L5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6" s="5"/>
      <c r="O56" s="5"/>
      <c r="P56" s="5"/>
      <c r="Q56" s="5"/>
      <c r="R56" s="5"/>
      <c r="S56" s="5"/>
      <c r="T56" s="3" t="str" cm="1">
        <f t="array" ref="T5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6" s="3" t="str">
        <f>IFERROR(INDEX(既製杭_map[sheet],MATCH(既製杭[[#This Row],[杭種]],既製杭_map[杭種],0)),"")</f>
        <v/>
      </c>
      <c r="V56" s="3" t="str" cm="1">
        <f t="array" ref="V5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6" s="5"/>
      <c r="Y56" s="5"/>
      <c r="Z56" s="5"/>
      <c r="AA56" s="3">
        <f>ROUND(現場打コンクリート[[#This Row],[数量]],1)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ROUND(PCaコンクリート_鉄筋無し[[#This Row],[数量]],1)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7">
      <c r="A57" s="5"/>
      <c r="B57" s="5"/>
      <c r="C57" s="3">
        <f>ROUND(用途別面積[[#This Row],[床面積]],1)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3">
        <f>ROUND(現場打杭[[#This Row],[コンクリート数量]],1)</f>
        <v>0</v>
      </c>
      <c r="K57" s="3" t="str" cm="1">
        <f t="array" aca="1" ref="K5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7" s="3" t="str" cm="1">
        <f t="array" aca="1" ref="L5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7" s="5"/>
      <c r="O57" s="5"/>
      <c r="P57" s="5"/>
      <c r="Q57" s="5"/>
      <c r="R57" s="5"/>
      <c r="S57" s="5"/>
      <c r="T57" s="3" t="str" cm="1">
        <f t="array" ref="T5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7" s="3" t="str">
        <f>IFERROR(INDEX(既製杭_map[sheet],MATCH(既製杭[[#This Row],[杭種]],既製杭_map[杭種],0)),"")</f>
        <v/>
      </c>
      <c r="V57" s="3" t="str" cm="1">
        <f t="array" ref="V5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7" s="5"/>
      <c r="Y57" s="5"/>
      <c r="Z57" s="5"/>
      <c r="AA57" s="3">
        <f>ROUND(現場打コンクリート[[#This Row],[数量]],1)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ROUND(PCaコンクリート_鉄筋無し[[#This Row],[数量]],1)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7">
      <c r="A58" s="5"/>
      <c r="B58" s="5"/>
      <c r="C58" s="3">
        <f>ROUND(用途別面積[[#This Row],[床面積]],1)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3">
        <f>ROUND(現場打杭[[#This Row],[コンクリート数量]],1)</f>
        <v>0</v>
      </c>
      <c r="K58" s="3" t="str" cm="1">
        <f t="array" aca="1" ref="K5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8" s="3" t="str" cm="1">
        <f t="array" aca="1" ref="L5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8" s="5"/>
      <c r="O58" s="5"/>
      <c r="P58" s="5"/>
      <c r="Q58" s="5"/>
      <c r="R58" s="5"/>
      <c r="S58" s="5"/>
      <c r="T58" s="3" t="str" cm="1">
        <f t="array" ref="T5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8" s="3" t="str">
        <f>IFERROR(INDEX(既製杭_map[sheet],MATCH(既製杭[[#This Row],[杭種]],既製杭_map[杭種],0)),"")</f>
        <v/>
      </c>
      <c r="V58" s="3" t="str" cm="1">
        <f t="array" ref="V5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8" s="5"/>
      <c r="Y58" s="5"/>
      <c r="Z58" s="5"/>
      <c r="AA58" s="3">
        <f>ROUND(現場打コンクリート[[#This Row],[数量]],1)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ROUND(PCaコンクリート_鉄筋無し[[#This Row],[数量]],1)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7">
      <c r="A59" s="5"/>
      <c r="B59" s="5"/>
      <c r="C59" s="3">
        <f>ROUND(用途別面積[[#This Row],[床面積]],1)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3">
        <f>ROUND(現場打杭[[#This Row],[コンクリート数量]],1)</f>
        <v>0</v>
      </c>
      <c r="K59" s="3" t="str" cm="1">
        <f t="array" aca="1" ref="K5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9" s="3" t="str" cm="1">
        <f t="array" aca="1" ref="L5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9" s="5"/>
      <c r="O59" s="5"/>
      <c r="P59" s="5"/>
      <c r="Q59" s="5"/>
      <c r="R59" s="5"/>
      <c r="S59" s="5"/>
      <c r="T59" s="3" t="str" cm="1">
        <f t="array" ref="T5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9" s="3" t="str">
        <f>IFERROR(INDEX(既製杭_map[sheet],MATCH(既製杭[[#This Row],[杭種]],既製杭_map[杭種],0)),"")</f>
        <v/>
      </c>
      <c r="V59" s="3" t="str" cm="1">
        <f t="array" ref="V5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9" s="5"/>
      <c r="Y59" s="5"/>
      <c r="Z59" s="5"/>
      <c r="AA59" s="3">
        <f>ROUND(現場打コンクリート[[#This Row],[数量]],1)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ROUND(PCaコンクリート_鉄筋無し[[#This Row],[数量]],1)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7">
      <c r="A60" s="5"/>
      <c r="B60" s="5"/>
      <c r="C60" s="3">
        <f>ROUND(用途別面積[[#This Row],[床面積]],1)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3">
        <f>ROUND(現場打杭[[#This Row],[コンクリート数量]],1)</f>
        <v>0</v>
      </c>
      <c r="K60" s="3" t="str" cm="1">
        <f t="array" aca="1" ref="K6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0" s="3" t="str" cm="1">
        <f t="array" aca="1" ref="L6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0" s="5"/>
      <c r="O60" s="5"/>
      <c r="P60" s="5"/>
      <c r="Q60" s="5"/>
      <c r="R60" s="5"/>
      <c r="S60" s="5"/>
      <c r="T60" s="3" t="str" cm="1">
        <f t="array" ref="T6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0" s="3" t="str">
        <f>IFERROR(INDEX(既製杭_map[sheet],MATCH(既製杭[[#This Row],[杭種]],既製杭_map[杭種],0)),"")</f>
        <v/>
      </c>
      <c r="V60" s="3" t="str" cm="1">
        <f t="array" ref="V6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0" s="5"/>
      <c r="Y60" s="5"/>
      <c r="Z60" s="5"/>
      <c r="AA60" s="3">
        <f>ROUND(現場打コンクリート[[#This Row],[数量]],1)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ROUND(PCaコンクリート_鉄筋無し[[#This Row],[数量]],1)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7">
      <c r="A61" s="5"/>
      <c r="B61" s="5"/>
      <c r="C61" s="3">
        <f>ROUND(用途別面積[[#This Row],[床面積]],1)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3">
        <f>ROUND(現場打杭[[#This Row],[コンクリート数量]],1)</f>
        <v>0</v>
      </c>
      <c r="K61" s="3" t="str" cm="1">
        <f t="array" aca="1" ref="K6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1" s="3" t="str" cm="1">
        <f t="array" aca="1" ref="L6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1" s="5"/>
      <c r="O61" s="5"/>
      <c r="P61" s="5"/>
      <c r="Q61" s="5"/>
      <c r="R61" s="5"/>
      <c r="S61" s="5"/>
      <c r="T61" s="3" t="str" cm="1">
        <f t="array" ref="T6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1" s="3" t="str">
        <f>IFERROR(INDEX(既製杭_map[sheet],MATCH(既製杭[[#This Row],[杭種]],既製杭_map[杭種],0)),"")</f>
        <v/>
      </c>
      <c r="V61" s="3" t="str" cm="1">
        <f t="array" ref="V6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1" s="5"/>
      <c r="Y61" s="5"/>
      <c r="Z61" s="5"/>
      <c r="AA61" s="3">
        <f>ROUND(現場打コンクリート[[#This Row],[数量]],1)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ROUND(PCaコンクリート_鉄筋無し[[#This Row],[数量]],1)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7">
      <c r="A62" s="5"/>
      <c r="B62" s="5"/>
      <c r="C62" s="3">
        <f>ROUND(用途別面積[[#This Row],[床面積]],1)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3">
        <f>ROUND(現場打杭[[#This Row],[コンクリート数量]],1)</f>
        <v>0</v>
      </c>
      <c r="K62" s="3" t="str" cm="1">
        <f t="array" aca="1" ref="K6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2" s="3" t="str" cm="1">
        <f t="array" aca="1" ref="L6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2" s="5"/>
      <c r="O62" s="5"/>
      <c r="P62" s="5"/>
      <c r="Q62" s="5"/>
      <c r="R62" s="5"/>
      <c r="S62" s="5"/>
      <c r="T62" s="3" t="str" cm="1">
        <f t="array" ref="T6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2" s="3" t="str">
        <f>IFERROR(INDEX(既製杭_map[sheet],MATCH(既製杭[[#This Row],[杭種]],既製杭_map[杭種],0)),"")</f>
        <v/>
      </c>
      <c r="V62" s="3" t="str" cm="1">
        <f t="array" ref="V6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2" s="5"/>
      <c r="Y62" s="5"/>
      <c r="Z62" s="5"/>
      <c r="AA62" s="3">
        <f>ROUND(現場打コンクリート[[#This Row],[数量]],1)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ROUND(PCaコンクリート_鉄筋無し[[#This Row],[数量]],1)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7">
      <c r="A63" s="5"/>
      <c r="B63" s="5"/>
      <c r="C63" s="3">
        <f>ROUND(用途別面積[[#This Row],[床面積]],1)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3">
        <f>ROUND(現場打杭[[#This Row],[コンクリート数量]],1)</f>
        <v>0</v>
      </c>
      <c r="K63" s="3" t="str" cm="1">
        <f t="array" aca="1" ref="K6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3" s="3" t="str" cm="1">
        <f t="array" aca="1" ref="L6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3" s="5"/>
      <c r="O63" s="5"/>
      <c r="P63" s="5"/>
      <c r="Q63" s="5"/>
      <c r="R63" s="5"/>
      <c r="S63" s="5"/>
      <c r="T63" s="3" t="str" cm="1">
        <f t="array" ref="T6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3" s="3" t="str">
        <f>IFERROR(INDEX(既製杭_map[sheet],MATCH(既製杭[[#This Row],[杭種]],既製杭_map[杭種],0)),"")</f>
        <v/>
      </c>
      <c r="V63" s="3" t="str" cm="1">
        <f t="array" ref="V6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3" s="5"/>
      <c r="Y63" s="5"/>
      <c r="Z63" s="5"/>
      <c r="AA63" s="3">
        <f>ROUND(現場打コンクリート[[#This Row],[数量]],1)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ROUND(PCaコンクリート_鉄筋無し[[#This Row],[数量]],1)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7">
      <c r="A64" s="5"/>
      <c r="B64" s="5"/>
      <c r="C64" s="3">
        <f>ROUND(用途別面積[[#This Row],[床面積]],1)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3">
        <f>ROUND(現場打杭[[#This Row],[コンクリート数量]],1)</f>
        <v>0</v>
      </c>
      <c r="K64" s="3" t="str" cm="1">
        <f t="array" aca="1" ref="K6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4" s="3" t="str" cm="1">
        <f t="array" aca="1" ref="L6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4" s="5"/>
      <c r="O64" s="5"/>
      <c r="P64" s="5"/>
      <c r="Q64" s="5"/>
      <c r="R64" s="5"/>
      <c r="S64" s="5"/>
      <c r="T64" s="3" t="str" cm="1">
        <f t="array" ref="T6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4" s="3" t="str">
        <f>IFERROR(INDEX(既製杭_map[sheet],MATCH(既製杭[[#This Row],[杭種]],既製杭_map[杭種],0)),"")</f>
        <v/>
      </c>
      <c r="V64" s="3" t="str" cm="1">
        <f t="array" ref="V6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4" s="5"/>
      <c r="Y64" s="5"/>
      <c r="Z64" s="5"/>
      <c r="AA64" s="3">
        <f>ROUND(現場打コンクリート[[#This Row],[数量]],1)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ROUND(PCaコンクリート_鉄筋無し[[#This Row],[数量]],1)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7">
      <c r="A65" s="5"/>
      <c r="B65" s="5"/>
      <c r="C65" s="3">
        <f>ROUND(用途別面積[[#This Row],[床面積]],1)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3">
        <f>ROUND(現場打杭[[#This Row],[コンクリート数量]],1)</f>
        <v>0</v>
      </c>
      <c r="K65" s="3" t="str" cm="1">
        <f t="array" aca="1" ref="K6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5" s="3" t="str" cm="1">
        <f t="array" aca="1" ref="L6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5" s="5"/>
      <c r="O65" s="5"/>
      <c r="P65" s="5"/>
      <c r="Q65" s="5"/>
      <c r="R65" s="5"/>
      <c r="S65" s="5"/>
      <c r="T65" s="3" t="str" cm="1">
        <f t="array" ref="T6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5" s="3" t="str">
        <f>IFERROR(INDEX(既製杭_map[sheet],MATCH(既製杭[[#This Row],[杭種]],既製杭_map[杭種],0)),"")</f>
        <v/>
      </c>
      <c r="V65" s="3" t="str" cm="1">
        <f t="array" ref="V6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5" s="5"/>
      <c r="Y65" s="5"/>
      <c r="Z65" s="5"/>
      <c r="AA65" s="3">
        <f>ROUND(現場打コンクリート[[#This Row],[数量]],1)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ROUND(PCaコンクリート_鉄筋無し[[#This Row],[数量]],1)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7">
      <c r="A66" s="5"/>
      <c r="B66" s="5"/>
      <c r="C66" s="3">
        <f>ROUND(用途別面積[[#This Row],[床面積]],1)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3">
        <f>ROUND(現場打杭[[#This Row],[コンクリート数量]],1)</f>
        <v>0</v>
      </c>
      <c r="K66" s="3" t="str" cm="1">
        <f t="array" aca="1" ref="K6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6" s="3" t="str" cm="1">
        <f t="array" aca="1" ref="L6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6" s="5"/>
      <c r="O66" s="5"/>
      <c r="P66" s="5"/>
      <c r="Q66" s="5"/>
      <c r="R66" s="5"/>
      <c r="S66" s="5"/>
      <c r="T66" s="3" t="str" cm="1">
        <f t="array" ref="T6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6" s="3" t="str">
        <f>IFERROR(INDEX(既製杭_map[sheet],MATCH(既製杭[[#This Row],[杭種]],既製杭_map[杭種],0)),"")</f>
        <v/>
      </c>
      <c r="V66" s="3" t="str" cm="1">
        <f t="array" ref="V6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6" s="5"/>
      <c r="Y66" s="5"/>
      <c r="Z66" s="5"/>
      <c r="AA66" s="3">
        <f>ROUND(現場打コンクリート[[#This Row],[数量]],1)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ROUND(PCaコンクリート_鉄筋無し[[#This Row],[数量]],1)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7">
      <c r="A67" s="5"/>
      <c r="B67" s="5"/>
      <c r="C67" s="3">
        <f>ROUND(用途別面積[[#This Row],[床面積]],1)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3">
        <f>ROUND(現場打杭[[#This Row],[コンクリート数量]],1)</f>
        <v>0</v>
      </c>
      <c r="K67" s="3" t="str" cm="1">
        <f t="array" aca="1" ref="K6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7" s="3" t="str" cm="1">
        <f t="array" aca="1" ref="L6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7" s="5"/>
      <c r="O67" s="5"/>
      <c r="P67" s="5"/>
      <c r="Q67" s="5"/>
      <c r="R67" s="5"/>
      <c r="S67" s="5"/>
      <c r="T67" s="3" t="str" cm="1">
        <f t="array" ref="T6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7" s="3" t="str">
        <f>IFERROR(INDEX(既製杭_map[sheet],MATCH(既製杭[[#This Row],[杭種]],既製杭_map[杭種],0)),"")</f>
        <v/>
      </c>
      <c r="V67" s="3" t="str" cm="1">
        <f t="array" ref="V6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7" s="5"/>
      <c r="Y67" s="5"/>
      <c r="Z67" s="5"/>
      <c r="AA67" s="3">
        <f>ROUND(現場打コンクリート[[#This Row],[数量]],1)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ROUND(PCaコンクリート_鉄筋無し[[#This Row],[数量]],1)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7">
      <c r="A68" s="5"/>
      <c r="B68" s="5"/>
      <c r="C68" s="3">
        <f>ROUND(用途別面積[[#This Row],[床面積]],1)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3">
        <f>ROUND(現場打杭[[#This Row],[コンクリート数量]],1)</f>
        <v>0</v>
      </c>
      <c r="K68" s="3" t="str" cm="1">
        <f t="array" aca="1" ref="K6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8" s="3" t="str" cm="1">
        <f t="array" aca="1" ref="L6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8" s="5"/>
      <c r="O68" s="5"/>
      <c r="P68" s="5"/>
      <c r="Q68" s="5"/>
      <c r="R68" s="5"/>
      <c r="S68" s="5"/>
      <c r="T68" s="3" t="str" cm="1">
        <f t="array" ref="T6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8" s="3" t="str">
        <f>IFERROR(INDEX(既製杭_map[sheet],MATCH(既製杭[[#This Row],[杭種]],既製杭_map[杭種],0)),"")</f>
        <v/>
      </c>
      <c r="V68" s="3" t="str" cm="1">
        <f t="array" ref="V6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8" s="5"/>
      <c r="Y68" s="5"/>
      <c r="Z68" s="5"/>
      <c r="AA68" s="3">
        <f>ROUND(現場打コンクリート[[#This Row],[数量]],1)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ROUND(PCaコンクリート_鉄筋無し[[#This Row],[数量]],1)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7">
      <c r="A69" s="5"/>
      <c r="B69" s="5"/>
      <c r="C69" s="3">
        <f>ROUND(用途別面積[[#This Row],[床面積]],1)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3">
        <f>ROUND(現場打杭[[#This Row],[コンクリート数量]],1)</f>
        <v>0</v>
      </c>
      <c r="K69" s="3" t="str" cm="1">
        <f t="array" aca="1" ref="K6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9" s="3" t="str" cm="1">
        <f t="array" aca="1" ref="L6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9" s="5"/>
      <c r="O69" s="5"/>
      <c r="P69" s="5"/>
      <c r="Q69" s="5"/>
      <c r="R69" s="5"/>
      <c r="S69" s="5"/>
      <c r="T69" s="3" t="str" cm="1">
        <f t="array" ref="T6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9" s="3" t="str">
        <f>IFERROR(INDEX(既製杭_map[sheet],MATCH(既製杭[[#This Row],[杭種]],既製杭_map[杭種],0)),"")</f>
        <v/>
      </c>
      <c r="V69" s="3" t="str" cm="1">
        <f t="array" ref="V6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9" s="5"/>
      <c r="Y69" s="5"/>
      <c r="Z69" s="5"/>
      <c r="AA69" s="3">
        <f>ROUND(現場打コンクリート[[#This Row],[数量]],1)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ROUND(PCaコンクリート_鉄筋無し[[#This Row],[数量]],1)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7">
      <c r="A70" s="5"/>
      <c r="B70" s="5"/>
      <c r="C70" s="3">
        <f>ROUND(用途別面積[[#This Row],[床面積]],1)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3">
        <f>ROUND(現場打杭[[#This Row],[コンクリート数量]],1)</f>
        <v>0</v>
      </c>
      <c r="K70" s="3" t="str" cm="1">
        <f t="array" aca="1" ref="K7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0" s="3" t="str" cm="1">
        <f t="array" aca="1" ref="L7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0" s="5"/>
      <c r="O70" s="5"/>
      <c r="P70" s="5"/>
      <c r="Q70" s="5"/>
      <c r="R70" s="5"/>
      <c r="S70" s="5"/>
      <c r="T70" s="3" t="str" cm="1">
        <f t="array" ref="T7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0" s="3" t="str">
        <f>IFERROR(INDEX(既製杭_map[sheet],MATCH(既製杭[[#This Row],[杭種]],既製杭_map[杭種],0)),"")</f>
        <v/>
      </c>
      <c r="V70" s="3" t="str" cm="1">
        <f t="array" ref="V7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0" s="5"/>
      <c r="Y70" s="5"/>
      <c r="Z70" s="5"/>
      <c r="AA70" s="3">
        <f>ROUND(現場打コンクリート[[#This Row],[数量]],1)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ROUND(PCaコンクリート_鉄筋無し[[#This Row],[数量]],1)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7">
      <c r="A71" s="5"/>
      <c r="B71" s="5"/>
      <c r="C71" s="3">
        <f>ROUND(用途別面積[[#This Row],[床面積]],1)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3">
        <f>ROUND(現場打杭[[#This Row],[コンクリート数量]],1)</f>
        <v>0</v>
      </c>
      <c r="K71" s="3" t="str" cm="1">
        <f t="array" aca="1" ref="K7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1" s="3" t="str" cm="1">
        <f t="array" aca="1" ref="L7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1" s="5"/>
      <c r="O71" s="5"/>
      <c r="P71" s="5"/>
      <c r="Q71" s="5"/>
      <c r="R71" s="5"/>
      <c r="S71" s="5"/>
      <c r="T71" s="3" t="str" cm="1">
        <f t="array" ref="T7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1" s="3" t="str">
        <f>IFERROR(INDEX(既製杭_map[sheet],MATCH(既製杭[[#This Row],[杭種]],既製杭_map[杭種],0)),"")</f>
        <v/>
      </c>
      <c r="V71" s="3" t="str" cm="1">
        <f t="array" ref="V7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1" s="5"/>
      <c r="Y71" s="5"/>
      <c r="Z71" s="5"/>
      <c r="AA71" s="3">
        <f>ROUND(現場打コンクリート[[#This Row],[数量]],1)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ROUND(PCaコンクリート_鉄筋無し[[#This Row],[数量]],1)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7">
      <c r="A72" s="5"/>
      <c r="B72" s="5"/>
      <c r="C72" s="3">
        <f>ROUND(用途別面積[[#This Row],[床面積]],1)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3">
        <f>ROUND(現場打杭[[#This Row],[コンクリート数量]],1)</f>
        <v>0</v>
      </c>
      <c r="K72" s="3" t="str" cm="1">
        <f t="array" aca="1" ref="K7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2" s="3" t="str" cm="1">
        <f t="array" aca="1" ref="L7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2" s="5"/>
      <c r="O72" s="5"/>
      <c r="P72" s="5"/>
      <c r="Q72" s="5"/>
      <c r="R72" s="5"/>
      <c r="S72" s="5"/>
      <c r="T72" s="3" t="str" cm="1">
        <f t="array" ref="T7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2" s="3" t="str">
        <f>IFERROR(INDEX(既製杭_map[sheet],MATCH(既製杭[[#This Row],[杭種]],既製杭_map[杭種],0)),"")</f>
        <v/>
      </c>
      <c r="V72" s="3" t="str" cm="1">
        <f t="array" ref="V7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2" s="5"/>
      <c r="Y72" s="5"/>
      <c r="Z72" s="5"/>
      <c r="AA72" s="3">
        <f>ROUND(現場打コンクリート[[#This Row],[数量]],1)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ROUND(PCaコンクリート_鉄筋無し[[#This Row],[数量]],1)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7">
      <c r="A73" s="5"/>
      <c r="B73" s="5"/>
      <c r="C73" s="3">
        <f>ROUND(用途別面積[[#This Row],[床面積]],1)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3">
        <f>ROUND(現場打杭[[#This Row],[コンクリート数量]],1)</f>
        <v>0</v>
      </c>
      <c r="K73" s="3" t="str" cm="1">
        <f t="array" aca="1" ref="K7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3" s="3" t="str" cm="1">
        <f t="array" aca="1" ref="L7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3" s="5"/>
      <c r="O73" s="5"/>
      <c r="P73" s="5"/>
      <c r="Q73" s="5"/>
      <c r="R73" s="5"/>
      <c r="S73" s="5"/>
      <c r="T73" s="3" t="str" cm="1">
        <f t="array" ref="T7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3" s="3" t="str">
        <f>IFERROR(INDEX(既製杭_map[sheet],MATCH(既製杭[[#This Row],[杭種]],既製杭_map[杭種],0)),"")</f>
        <v/>
      </c>
      <c r="V73" s="3" t="str" cm="1">
        <f t="array" ref="V7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3" s="5"/>
      <c r="Y73" s="5"/>
      <c r="Z73" s="5"/>
      <c r="AA73" s="3">
        <f>ROUND(現場打コンクリート[[#This Row],[数量]],1)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ROUND(PCaコンクリート_鉄筋無し[[#This Row],[数量]],1)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7">
      <c r="A74" s="5"/>
      <c r="B74" s="5"/>
      <c r="C74" s="3">
        <f>ROUND(用途別面積[[#This Row],[床面積]],1)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3">
        <f>ROUND(現場打杭[[#This Row],[コンクリート数量]],1)</f>
        <v>0</v>
      </c>
      <c r="K74" s="3" t="str" cm="1">
        <f t="array" aca="1" ref="K7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4" s="3" t="str" cm="1">
        <f t="array" aca="1" ref="L7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4" s="5"/>
      <c r="O74" s="5"/>
      <c r="P74" s="5"/>
      <c r="Q74" s="5"/>
      <c r="R74" s="5"/>
      <c r="S74" s="5"/>
      <c r="T74" s="3" t="str" cm="1">
        <f t="array" ref="T7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4" s="3" t="str">
        <f>IFERROR(INDEX(既製杭_map[sheet],MATCH(既製杭[[#This Row],[杭種]],既製杭_map[杭種],0)),"")</f>
        <v/>
      </c>
      <c r="V74" s="3" t="str" cm="1">
        <f t="array" ref="V7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4" s="5"/>
      <c r="Y74" s="5"/>
      <c r="Z74" s="5"/>
      <c r="AA74" s="3">
        <f>ROUND(現場打コンクリート[[#This Row],[数量]],1)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ROUND(PCaコンクリート_鉄筋無し[[#This Row],[数量]],1)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7">
      <c r="A75" s="5"/>
      <c r="B75" s="5"/>
      <c r="C75" s="3">
        <f>ROUND(用途別面積[[#This Row],[床面積]],1)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3">
        <f>ROUND(現場打杭[[#This Row],[コンクリート数量]],1)</f>
        <v>0</v>
      </c>
      <c r="K75" s="3" t="str" cm="1">
        <f t="array" aca="1" ref="K7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5" s="3" t="str" cm="1">
        <f t="array" aca="1" ref="L7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5" s="5"/>
      <c r="O75" s="5"/>
      <c r="P75" s="5"/>
      <c r="Q75" s="5"/>
      <c r="R75" s="5"/>
      <c r="S75" s="5"/>
      <c r="T75" s="3" t="str" cm="1">
        <f t="array" ref="T7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5" s="3" t="str">
        <f>IFERROR(INDEX(既製杭_map[sheet],MATCH(既製杭[[#This Row],[杭種]],既製杭_map[杭種],0)),"")</f>
        <v/>
      </c>
      <c r="V75" s="3" t="str" cm="1">
        <f t="array" ref="V7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5" s="5"/>
      <c r="Y75" s="5"/>
      <c r="Z75" s="5"/>
      <c r="AA75" s="3">
        <f>ROUND(現場打コンクリート[[#This Row],[数量]],1)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ROUND(PCaコンクリート_鉄筋無し[[#This Row],[数量]],1)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7">
      <c r="A76" s="5"/>
      <c r="B76" s="5"/>
      <c r="C76" s="3">
        <f>ROUND(用途別面積[[#This Row],[床面積]],1)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3">
        <f>ROUND(現場打杭[[#This Row],[コンクリート数量]],1)</f>
        <v>0</v>
      </c>
      <c r="K76" s="3" t="str" cm="1">
        <f t="array" aca="1" ref="K7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6" s="3" t="str" cm="1">
        <f t="array" aca="1" ref="L7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6" s="5"/>
      <c r="O76" s="5"/>
      <c r="P76" s="5"/>
      <c r="Q76" s="5"/>
      <c r="R76" s="5"/>
      <c r="S76" s="5"/>
      <c r="T76" s="3" t="str" cm="1">
        <f t="array" ref="T7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6" s="3" t="str">
        <f>IFERROR(INDEX(既製杭_map[sheet],MATCH(既製杭[[#This Row],[杭種]],既製杭_map[杭種],0)),"")</f>
        <v/>
      </c>
      <c r="V76" s="3" t="str" cm="1">
        <f t="array" ref="V7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6" s="5"/>
      <c r="Y76" s="5"/>
      <c r="Z76" s="5"/>
      <c r="AA76" s="3">
        <f>ROUND(現場打コンクリート[[#This Row],[数量]],1)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ROUND(PCaコンクリート_鉄筋無し[[#This Row],[数量]],1)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7">
      <c r="A77" s="5"/>
      <c r="B77" s="5"/>
      <c r="C77" s="3">
        <f>ROUND(用途別面積[[#This Row],[床面積]],1)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3">
        <f>ROUND(現場打杭[[#This Row],[コンクリート数量]],1)</f>
        <v>0</v>
      </c>
      <c r="K77" s="3" t="str" cm="1">
        <f t="array" aca="1" ref="K7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7" s="3" t="str" cm="1">
        <f t="array" aca="1" ref="L7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7" s="5"/>
      <c r="O77" s="5"/>
      <c r="P77" s="5"/>
      <c r="Q77" s="5"/>
      <c r="R77" s="5"/>
      <c r="S77" s="5"/>
      <c r="T77" s="3" t="str" cm="1">
        <f t="array" ref="T7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7" s="3" t="str">
        <f>IFERROR(INDEX(既製杭_map[sheet],MATCH(既製杭[[#This Row],[杭種]],既製杭_map[杭種],0)),"")</f>
        <v/>
      </c>
      <c r="V77" s="3" t="str" cm="1">
        <f t="array" ref="V7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7" s="5"/>
      <c r="Y77" s="5"/>
      <c r="Z77" s="5"/>
      <c r="AA77" s="3">
        <f>ROUND(現場打コンクリート[[#This Row],[数量]],1)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ROUND(PCaコンクリート_鉄筋無し[[#This Row],[数量]],1)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7">
      <c r="A78" s="5"/>
      <c r="B78" s="5"/>
      <c r="C78" s="3">
        <f>ROUND(用途別面積[[#This Row],[床面積]],1)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3">
        <f>ROUND(現場打杭[[#This Row],[コンクリート数量]],1)</f>
        <v>0</v>
      </c>
      <c r="K78" s="3" t="str" cm="1">
        <f t="array" aca="1" ref="K7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8" s="3" t="str" cm="1">
        <f t="array" aca="1" ref="L7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8" s="5"/>
      <c r="O78" s="5"/>
      <c r="P78" s="5"/>
      <c r="Q78" s="5"/>
      <c r="R78" s="5"/>
      <c r="S78" s="5"/>
      <c r="T78" s="3" t="str" cm="1">
        <f t="array" ref="T7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8" s="3" t="str">
        <f>IFERROR(INDEX(既製杭_map[sheet],MATCH(既製杭[[#This Row],[杭種]],既製杭_map[杭種],0)),"")</f>
        <v/>
      </c>
      <c r="V78" s="3" t="str" cm="1">
        <f t="array" ref="V7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8" s="5"/>
      <c r="Y78" s="5"/>
      <c r="Z78" s="5"/>
      <c r="AA78" s="3">
        <f>ROUND(現場打コンクリート[[#This Row],[数量]],1)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ROUND(PCaコンクリート_鉄筋無し[[#This Row],[数量]],1)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7">
      <c r="A79" s="5"/>
      <c r="B79" s="5"/>
      <c r="C79" s="3">
        <f>ROUND(用途別面積[[#This Row],[床面積]],1)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3">
        <f>ROUND(現場打杭[[#This Row],[コンクリート数量]],1)</f>
        <v>0</v>
      </c>
      <c r="K79" s="3" t="str" cm="1">
        <f t="array" aca="1" ref="K7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9" s="3" t="str" cm="1">
        <f t="array" aca="1" ref="L7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9" s="5"/>
      <c r="O79" s="5"/>
      <c r="P79" s="5"/>
      <c r="Q79" s="5"/>
      <c r="R79" s="5"/>
      <c r="S79" s="5"/>
      <c r="T79" s="3" t="str" cm="1">
        <f t="array" ref="T7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9" s="3" t="str">
        <f>IFERROR(INDEX(既製杭_map[sheet],MATCH(既製杭[[#This Row],[杭種]],既製杭_map[杭種],0)),"")</f>
        <v/>
      </c>
      <c r="V79" s="3" t="str" cm="1">
        <f t="array" ref="V7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9" s="5"/>
      <c r="Y79" s="5"/>
      <c r="Z79" s="5"/>
      <c r="AA79" s="3">
        <f>ROUND(現場打コンクリート[[#This Row],[数量]],1)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ROUND(PCaコンクリート_鉄筋無し[[#This Row],[数量]],1)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7">
      <c r="A80" s="5"/>
      <c r="B80" s="5"/>
      <c r="C80" s="3">
        <f>ROUND(用途別面積[[#This Row],[床面積]],1)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3">
        <f>ROUND(現場打杭[[#This Row],[コンクリート数量]],1)</f>
        <v>0</v>
      </c>
      <c r="K80" s="3" t="str" cm="1">
        <f t="array" aca="1" ref="K8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0" s="3" t="str" cm="1">
        <f t="array" aca="1" ref="L8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0" s="5"/>
      <c r="O80" s="5"/>
      <c r="P80" s="5"/>
      <c r="Q80" s="5"/>
      <c r="R80" s="5"/>
      <c r="S80" s="5"/>
      <c r="T80" s="3" t="str" cm="1">
        <f t="array" ref="T8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0" s="3" t="str">
        <f>IFERROR(INDEX(既製杭_map[sheet],MATCH(既製杭[[#This Row],[杭種]],既製杭_map[杭種],0)),"")</f>
        <v/>
      </c>
      <c r="V80" s="3" t="str" cm="1">
        <f t="array" ref="V8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0" s="5"/>
      <c r="Y80" s="5"/>
      <c r="Z80" s="5"/>
      <c r="AA80" s="3">
        <f>ROUND(現場打コンクリート[[#This Row],[数量]],1)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ROUND(PCaコンクリート_鉄筋無し[[#This Row],[数量]],1)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7">
      <c r="A81" s="5"/>
      <c r="B81" s="5"/>
      <c r="C81" s="3">
        <f>ROUND(用途別面積[[#This Row],[床面積]],1)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3">
        <f>ROUND(現場打杭[[#This Row],[コンクリート数量]],1)</f>
        <v>0</v>
      </c>
      <c r="K81" s="3" t="str" cm="1">
        <f t="array" aca="1" ref="K8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1" s="3" t="str" cm="1">
        <f t="array" aca="1" ref="L8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1" s="5"/>
      <c r="O81" s="5"/>
      <c r="P81" s="5"/>
      <c r="Q81" s="5"/>
      <c r="R81" s="5"/>
      <c r="S81" s="5"/>
      <c r="T81" s="3" t="str" cm="1">
        <f t="array" ref="T8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1" s="3" t="str">
        <f>IFERROR(INDEX(既製杭_map[sheet],MATCH(既製杭[[#This Row],[杭種]],既製杭_map[杭種],0)),"")</f>
        <v/>
      </c>
      <c r="V81" s="3" t="str" cm="1">
        <f t="array" ref="V8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1" s="5"/>
      <c r="Y81" s="5"/>
      <c r="Z81" s="5"/>
      <c r="AA81" s="3">
        <f>ROUND(現場打コンクリート[[#This Row],[数量]],1)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ROUND(PCaコンクリート_鉄筋無し[[#This Row],[数量]],1)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7">
      <c r="A82" s="5"/>
      <c r="B82" s="5"/>
      <c r="C82" s="3">
        <f>ROUND(用途別面積[[#This Row],[床面積]],1)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3">
        <f>ROUND(現場打杭[[#This Row],[コンクリート数量]],1)</f>
        <v>0</v>
      </c>
      <c r="K82" s="3" t="str" cm="1">
        <f t="array" aca="1" ref="K8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2" s="3" t="str" cm="1">
        <f t="array" aca="1" ref="L8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2" s="5"/>
      <c r="O82" s="5"/>
      <c r="P82" s="5"/>
      <c r="Q82" s="5"/>
      <c r="R82" s="5"/>
      <c r="S82" s="5"/>
      <c r="T82" s="3" t="str" cm="1">
        <f t="array" ref="T8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2" s="3" t="str">
        <f>IFERROR(INDEX(既製杭_map[sheet],MATCH(既製杭[[#This Row],[杭種]],既製杭_map[杭種],0)),"")</f>
        <v/>
      </c>
      <c r="V82" s="3" t="str" cm="1">
        <f t="array" ref="V8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2" s="5"/>
      <c r="Y82" s="5"/>
      <c r="Z82" s="5"/>
      <c r="AA82" s="3">
        <f>ROUND(現場打コンクリート[[#This Row],[数量]],1)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ROUND(PCaコンクリート_鉄筋無し[[#This Row],[数量]],1)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7">
      <c r="A83" s="5"/>
      <c r="B83" s="5"/>
      <c r="C83" s="3">
        <f>ROUND(用途別面積[[#This Row],[床面積]],1)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3">
        <f>ROUND(現場打杭[[#This Row],[コンクリート数量]],1)</f>
        <v>0</v>
      </c>
      <c r="K83" s="3" t="str" cm="1">
        <f t="array" aca="1" ref="K8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3" s="3" t="str" cm="1">
        <f t="array" aca="1" ref="L8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3" s="5"/>
      <c r="O83" s="5"/>
      <c r="P83" s="5"/>
      <c r="Q83" s="5"/>
      <c r="R83" s="5"/>
      <c r="S83" s="5"/>
      <c r="T83" s="3" t="str" cm="1">
        <f t="array" ref="T8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3" s="3" t="str">
        <f>IFERROR(INDEX(既製杭_map[sheet],MATCH(既製杭[[#This Row],[杭種]],既製杭_map[杭種],0)),"")</f>
        <v/>
      </c>
      <c r="V83" s="3" t="str" cm="1">
        <f t="array" ref="V8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3" s="5"/>
      <c r="Y83" s="5"/>
      <c r="Z83" s="5"/>
      <c r="AA83" s="3">
        <f>ROUND(現場打コンクリート[[#This Row],[数量]],1)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ROUND(PCaコンクリート_鉄筋無し[[#This Row],[数量]],1)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7">
      <c r="A84" s="5"/>
      <c r="B84" s="5"/>
      <c r="C84" s="3">
        <f>ROUND(用途別面積[[#This Row],[床面積]],1)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3">
        <f>ROUND(現場打杭[[#This Row],[コンクリート数量]],1)</f>
        <v>0</v>
      </c>
      <c r="K84" s="3" t="str" cm="1">
        <f t="array" aca="1" ref="K8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4" s="3" t="str" cm="1">
        <f t="array" aca="1" ref="L8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4" s="5"/>
      <c r="O84" s="5"/>
      <c r="P84" s="5"/>
      <c r="Q84" s="5"/>
      <c r="R84" s="5"/>
      <c r="S84" s="5"/>
      <c r="T84" s="3" t="str" cm="1">
        <f t="array" ref="T8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4" s="3" t="str">
        <f>IFERROR(INDEX(既製杭_map[sheet],MATCH(既製杭[[#This Row],[杭種]],既製杭_map[杭種],0)),"")</f>
        <v/>
      </c>
      <c r="V84" s="3" t="str" cm="1">
        <f t="array" ref="V8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4" s="5"/>
      <c r="Y84" s="5"/>
      <c r="Z84" s="5"/>
      <c r="AA84" s="3">
        <f>ROUND(現場打コンクリート[[#This Row],[数量]],1)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ROUND(PCaコンクリート_鉄筋無し[[#This Row],[数量]],1)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7">
      <c r="A85" s="5"/>
      <c r="B85" s="5"/>
      <c r="C85" s="3">
        <f>ROUND(用途別面積[[#This Row],[床面積]],1)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3">
        <f>ROUND(現場打杭[[#This Row],[コンクリート数量]],1)</f>
        <v>0</v>
      </c>
      <c r="K85" s="3" t="str" cm="1">
        <f t="array" aca="1" ref="K8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5" s="3" t="str" cm="1">
        <f t="array" aca="1" ref="L8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5" s="5"/>
      <c r="O85" s="5"/>
      <c r="P85" s="5"/>
      <c r="Q85" s="5"/>
      <c r="R85" s="5"/>
      <c r="S85" s="5"/>
      <c r="T85" s="3" t="str" cm="1">
        <f t="array" ref="T8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5" s="3" t="str">
        <f>IFERROR(INDEX(既製杭_map[sheet],MATCH(既製杭[[#This Row],[杭種]],既製杭_map[杭種],0)),"")</f>
        <v/>
      </c>
      <c r="V85" s="3" t="str" cm="1">
        <f t="array" ref="V8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5" s="5"/>
      <c r="Y85" s="5"/>
      <c r="Z85" s="5"/>
      <c r="AA85" s="3">
        <f>ROUND(現場打コンクリート[[#This Row],[数量]],1)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ROUND(PCaコンクリート_鉄筋無し[[#This Row],[数量]],1)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7">
      <c r="A86" s="5"/>
      <c r="B86" s="5"/>
      <c r="C86" s="3">
        <f>ROUND(用途別面積[[#This Row],[床面積]],1)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3">
        <f>ROUND(現場打杭[[#This Row],[コンクリート数量]],1)</f>
        <v>0</v>
      </c>
      <c r="K86" s="3" t="str" cm="1">
        <f t="array" aca="1" ref="K8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6" s="3" t="str" cm="1">
        <f t="array" aca="1" ref="L8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6" s="5"/>
      <c r="O86" s="5"/>
      <c r="P86" s="5"/>
      <c r="Q86" s="5"/>
      <c r="R86" s="5"/>
      <c r="S86" s="5"/>
      <c r="T86" s="3" t="str" cm="1">
        <f t="array" ref="T8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6" s="3" t="str">
        <f>IFERROR(INDEX(既製杭_map[sheet],MATCH(既製杭[[#This Row],[杭種]],既製杭_map[杭種],0)),"")</f>
        <v/>
      </c>
      <c r="V86" s="3" t="str" cm="1">
        <f t="array" ref="V8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6" s="5"/>
      <c r="Y86" s="5"/>
      <c r="Z86" s="5"/>
      <c r="AA86" s="3">
        <f>ROUND(現場打コンクリート[[#This Row],[数量]],1)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ROUND(PCaコンクリート_鉄筋無し[[#This Row],[数量]],1)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7">
      <c r="A87" s="5"/>
      <c r="B87" s="5"/>
      <c r="C87" s="3">
        <f>ROUND(用途別面積[[#This Row],[床面積]],1)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3">
        <f>ROUND(現場打杭[[#This Row],[コンクリート数量]],1)</f>
        <v>0</v>
      </c>
      <c r="K87" s="3" t="str" cm="1">
        <f t="array" aca="1" ref="K8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7" s="3" t="str" cm="1">
        <f t="array" aca="1" ref="L8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7" s="5"/>
      <c r="O87" s="5"/>
      <c r="P87" s="5"/>
      <c r="Q87" s="5"/>
      <c r="R87" s="5"/>
      <c r="S87" s="5"/>
      <c r="T87" s="3" t="str" cm="1">
        <f t="array" ref="T8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7" s="3" t="str">
        <f>IFERROR(INDEX(既製杭_map[sheet],MATCH(既製杭[[#This Row],[杭種]],既製杭_map[杭種],0)),"")</f>
        <v/>
      </c>
      <c r="V87" s="3" t="str" cm="1">
        <f t="array" ref="V8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7" s="5"/>
      <c r="Y87" s="5"/>
      <c r="Z87" s="5"/>
      <c r="AA87" s="3">
        <f>ROUND(現場打コンクリート[[#This Row],[数量]],1)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ROUND(PCaコンクリート_鉄筋無し[[#This Row],[数量]],1)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7">
      <c r="A88" s="5"/>
      <c r="B88" s="5"/>
      <c r="C88" s="3">
        <f>ROUND(用途別面積[[#This Row],[床面積]],1)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3">
        <f>ROUND(現場打杭[[#This Row],[コンクリート数量]],1)</f>
        <v>0</v>
      </c>
      <c r="K88" s="3" t="str" cm="1">
        <f t="array" aca="1" ref="K8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8" s="3" t="str" cm="1">
        <f t="array" aca="1" ref="L8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8" s="5"/>
      <c r="O88" s="5"/>
      <c r="P88" s="5"/>
      <c r="Q88" s="5"/>
      <c r="R88" s="5"/>
      <c r="S88" s="5"/>
      <c r="T88" s="3" t="str" cm="1">
        <f t="array" ref="T8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8" s="3" t="str">
        <f>IFERROR(INDEX(既製杭_map[sheet],MATCH(既製杭[[#This Row],[杭種]],既製杭_map[杭種],0)),"")</f>
        <v/>
      </c>
      <c r="V88" s="3" t="str" cm="1">
        <f t="array" ref="V8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8" s="5"/>
      <c r="Y88" s="5"/>
      <c r="Z88" s="5"/>
      <c r="AA88" s="3">
        <f>ROUND(現場打コンクリート[[#This Row],[数量]],1)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ROUND(PCaコンクリート_鉄筋無し[[#This Row],[数量]],1)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7">
      <c r="A89" s="5"/>
      <c r="B89" s="5"/>
      <c r="C89" s="3">
        <f>ROUND(用途別面積[[#This Row],[床面積]],1)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3">
        <f>ROUND(現場打杭[[#This Row],[コンクリート数量]],1)</f>
        <v>0</v>
      </c>
      <c r="K89" s="3" t="str" cm="1">
        <f t="array" aca="1" ref="K8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9" s="3" t="str" cm="1">
        <f t="array" aca="1" ref="L8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9" s="5"/>
      <c r="O89" s="5"/>
      <c r="P89" s="5"/>
      <c r="Q89" s="5"/>
      <c r="R89" s="5"/>
      <c r="S89" s="5"/>
      <c r="T89" s="3" t="str" cm="1">
        <f t="array" ref="T8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9" s="3" t="str">
        <f>IFERROR(INDEX(既製杭_map[sheet],MATCH(既製杭[[#This Row],[杭種]],既製杭_map[杭種],0)),"")</f>
        <v/>
      </c>
      <c r="V89" s="3" t="str" cm="1">
        <f t="array" ref="V8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9" s="5"/>
      <c r="Y89" s="5"/>
      <c r="Z89" s="5"/>
      <c r="AA89" s="3">
        <f>ROUND(現場打コンクリート[[#This Row],[数量]],1)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ROUND(PCaコンクリート_鉄筋無し[[#This Row],[数量]],1)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7">
      <c r="A90" s="5"/>
      <c r="B90" s="5"/>
      <c r="C90" s="3">
        <f>ROUND(用途別面積[[#This Row],[床面積]],1)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3">
        <f>ROUND(現場打杭[[#This Row],[コンクリート数量]],1)</f>
        <v>0</v>
      </c>
      <c r="K90" s="3" t="str" cm="1">
        <f t="array" aca="1" ref="K9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0" s="3" t="str" cm="1">
        <f t="array" aca="1" ref="L9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0" s="5"/>
      <c r="O90" s="5"/>
      <c r="P90" s="5"/>
      <c r="Q90" s="5"/>
      <c r="R90" s="5"/>
      <c r="S90" s="5"/>
      <c r="T90" s="3" t="str" cm="1">
        <f t="array" ref="T9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0" s="3" t="str">
        <f>IFERROR(INDEX(既製杭_map[sheet],MATCH(既製杭[[#This Row],[杭種]],既製杭_map[杭種],0)),"")</f>
        <v/>
      </c>
      <c r="V90" s="3" t="str" cm="1">
        <f t="array" ref="V9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0" s="5"/>
      <c r="Y90" s="5"/>
      <c r="Z90" s="5"/>
      <c r="AA90" s="3">
        <f>ROUND(現場打コンクリート[[#This Row],[数量]],1)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ROUND(PCaコンクリート_鉄筋無し[[#This Row],[数量]],1)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7">
      <c r="A91" s="5"/>
      <c r="B91" s="5"/>
      <c r="C91" s="3">
        <f>ROUND(用途別面積[[#This Row],[床面積]],1)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3">
        <f>ROUND(現場打杭[[#This Row],[コンクリート数量]],1)</f>
        <v>0</v>
      </c>
      <c r="K91" s="3" t="str" cm="1">
        <f t="array" aca="1" ref="K9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1" s="3" t="str" cm="1">
        <f t="array" aca="1" ref="L9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1" s="5"/>
      <c r="O91" s="5"/>
      <c r="P91" s="5"/>
      <c r="Q91" s="5"/>
      <c r="R91" s="5"/>
      <c r="S91" s="5"/>
      <c r="T91" s="3" t="str" cm="1">
        <f t="array" ref="T9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1" s="3" t="str">
        <f>IFERROR(INDEX(既製杭_map[sheet],MATCH(既製杭[[#This Row],[杭種]],既製杭_map[杭種],0)),"")</f>
        <v/>
      </c>
      <c r="V91" s="3" t="str" cm="1">
        <f t="array" ref="V9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1" s="5"/>
      <c r="Y91" s="5"/>
      <c r="Z91" s="5"/>
      <c r="AA91" s="3">
        <f>ROUND(現場打コンクリート[[#This Row],[数量]],1)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ROUND(PCaコンクリート_鉄筋無し[[#This Row],[数量]],1)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7">
      <c r="A92" s="5"/>
      <c r="B92" s="5"/>
      <c r="C92" s="3">
        <f>ROUND(用途別面積[[#This Row],[床面積]],1)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3">
        <f>ROUND(現場打杭[[#This Row],[コンクリート数量]],1)</f>
        <v>0</v>
      </c>
      <c r="K92" s="3" t="str" cm="1">
        <f t="array" aca="1" ref="K9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2" s="3" t="str" cm="1">
        <f t="array" aca="1" ref="L9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2" s="5"/>
      <c r="O92" s="5"/>
      <c r="P92" s="5"/>
      <c r="Q92" s="5"/>
      <c r="R92" s="5"/>
      <c r="S92" s="5"/>
      <c r="T92" s="3" t="str" cm="1">
        <f t="array" ref="T9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2" s="3" t="str">
        <f>IFERROR(INDEX(既製杭_map[sheet],MATCH(既製杭[[#This Row],[杭種]],既製杭_map[杭種],0)),"")</f>
        <v/>
      </c>
      <c r="V92" s="3" t="str" cm="1">
        <f t="array" ref="V9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2" s="5"/>
      <c r="Y92" s="5"/>
      <c r="Z92" s="5"/>
      <c r="AA92" s="3">
        <f>ROUND(現場打コンクリート[[#This Row],[数量]],1)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ROUND(PCaコンクリート_鉄筋無し[[#This Row],[数量]],1)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7">
      <c r="A93" s="5"/>
      <c r="B93" s="5"/>
      <c r="C93" s="3">
        <f>ROUND(用途別面積[[#This Row],[床面積]],1)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3">
        <f>ROUND(現場打杭[[#This Row],[コンクリート数量]],1)</f>
        <v>0</v>
      </c>
      <c r="K93" s="3" t="str" cm="1">
        <f t="array" aca="1" ref="K9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3" s="3" t="str" cm="1">
        <f t="array" aca="1" ref="L9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3" s="5"/>
      <c r="O93" s="5"/>
      <c r="P93" s="5"/>
      <c r="Q93" s="5"/>
      <c r="R93" s="5"/>
      <c r="S93" s="5"/>
      <c r="T93" s="3" t="str" cm="1">
        <f t="array" ref="T9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3" s="3" t="str">
        <f>IFERROR(INDEX(既製杭_map[sheet],MATCH(既製杭[[#This Row],[杭種]],既製杭_map[杭種],0)),"")</f>
        <v/>
      </c>
      <c r="V93" s="3" t="str" cm="1">
        <f t="array" ref="V9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3" s="5"/>
      <c r="Y93" s="5"/>
      <c r="Z93" s="5"/>
      <c r="AA93" s="3">
        <f>ROUND(現場打コンクリート[[#This Row],[数量]],1)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ROUND(PCaコンクリート_鉄筋無し[[#This Row],[数量]],1)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7">
      <c r="A94" s="5"/>
      <c r="B94" s="5"/>
      <c r="C94" s="3">
        <f>ROUND(用途別面積[[#This Row],[床面積]],1)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3">
        <f>ROUND(現場打杭[[#This Row],[コンクリート数量]],1)</f>
        <v>0</v>
      </c>
      <c r="K94" s="3" t="str" cm="1">
        <f t="array" aca="1" ref="K9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4" s="3" t="str" cm="1">
        <f t="array" aca="1" ref="L9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4" s="5"/>
      <c r="O94" s="5"/>
      <c r="P94" s="5"/>
      <c r="Q94" s="5"/>
      <c r="R94" s="5"/>
      <c r="S94" s="5"/>
      <c r="T94" s="3" t="str" cm="1">
        <f t="array" ref="T9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4" s="3" t="str">
        <f>IFERROR(INDEX(既製杭_map[sheet],MATCH(既製杭[[#This Row],[杭種]],既製杭_map[杭種],0)),"")</f>
        <v/>
      </c>
      <c r="V94" s="3" t="str" cm="1">
        <f t="array" ref="V9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4" s="5"/>
      <c r="Y94" s="5"/>
      <c r="Z94" s="5"/>
      <c r="AA94" s="3">
        <f>ROUND(現場打コンクリート[[#This Row],[数量]],1)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ROUND(PCaコンクリート_鉄筋無し[[#This Row],[数量]],1)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7">
      <c r="A95" s="5"/>
      <c r="B95" s="5"/>
      <c r="C95" s="3">
        <f>ROUND(用途別面積[[#This Row],[床面積]],1)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3">
        <f>ROUND(現場打杭[[#This Row],[コンクリート数量]],1)</f>
        <v>0</v>
      </c>
      <c r="K95" s="3" t="str" cm="1">
        <f t="array" aca="1" ref="K9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5" s="3" t="str" cm="1">
        <f t="array" aca="1" ref="L9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5" s="5"/>
      <c r="O95" s="5"/>
      <c r="P95" s="5"/>
      <c r="Q95" s="5"/>
      <c r="R95" s="5"/>
      <c r="S95" s="5"/>
      <c r="T95" s="3" t="str" cm="1">
        <f t="array" ref="T9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5" s="3" t="str">
        <f>IFERROR(INDEX(既製杭_map[sheet],MATCH(既製杭[[#This Row],[杭種]],既製杭_map[杭種],0)),"")</f>
        <v/>
      </c>
      <c r="V95" s="3" t="str" cm="1">
        <f t="array" ref="V9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5" s="5"/>
      <c r="Y95" s="5"/>
      <c r="Z95" s="5"/>
      <c r="AA95" s="3">
        <f>ROUND(現場打コンクリート[[#This Row],[数量]],1)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ROUND(PCaコンクリート_鉄筋無し[[#This Row],[数量]],1)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7">
      <c r="A96" s="5"/>
      <c r="B96" s="5"/>
      <c r="C96" s="3">
        <f>ROUND(用途別面積[[#This Row],[床面積]],1)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3">
        <f>ROUND(現場打杭[[#This Row],[コンクリート数量]],1)</f>
        <v>0</v>
      </c>
      <c r="K96" s="3" t="str" cm="1">
        <f t="array" aca="1" ref="K9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6" s="3" t="str" cm="1">
        <f t="array" aca="1" ref="L9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6" s="5"/>
      <c r="O96" s="5"/>
      <c r="P96" s="5"/>
      <c r="Q96" s="5"/>
      <c r="R96" s="5"/>
      <c r="S96" s="5"/>
      <c r="T96" s="3" t="str" cm="1">
        <f t="array" ref="T9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6" s="3" t="str">
        <f>IFERROR(INDEX(既製杭_map[sheet],MATCH(既製杭[[#This Row],[杭種]],既製杭_map[杭種],0)),"")</f>
        <v/>
      </c>
      <c r="V96" s="3" t="str" cm="1">
        <f t="array" ref="V9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6" s="5"/>
      <c r="Y96" s="5"/>
      <c r="Z96" s="5"/>
      <c r="AA96" s="3">
        <f>ROUND(現場打コンクリート[[#This Row],[数量]],1)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ROUND(PCaコンクリート_鉄筋無し[[#This Row],[数量]],1)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7">
      <c r="A97" s="5"/>
      <c r="B97" s="5"/>
      <c r="C97" s="3">
        <f>ROUND(用途別面積[[#This Row],[床面積]],1)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3">
        <f>ROUND(現場打杭[[#This Row],[コンクリート数量]],1)</f>
        <v>0</v>
      </c>
      <c r="K97" s="3" t="str" cm="1">
        <f t="array" aca="1" ref="K9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7" s="3" t="str" cm="1">
        <f t="array" aca="1" ref="L9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7" s="5"/>
      <c r="O97" s="5"/>
      <c r="P97" s="5"/>
      <c r="Q97" s="5"/>
      <c r="R97" s="5"/>
      <c r="S97" s="5"/>
      <c r="T97" s="3" t="str" cm="1">
        <f t="array" ref="T9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7" s="3" t="str">
        <f>IFERROR(INDEX(既製杭_map[sheet],MATCH(既製杭[[#This Row],[杭種]],既製杭_map[杭種],0)),"")</f>
        <v/>
      </c>
      <c r="V97" s="3" t="str" cm="1">
        <f t="array" ref="V9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7" s="5"/>
      <c r="Y97" s="5"/>
      <c r="Z97" s="5"/>
      <c r="AA97" s="3">
        <f>ROUND(現場打コンクリート[[#This Row],[数量]],1)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ROUND(PCaコンクリート_鉄筋無し[[#This Row],[数量]],1)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7">
      <c r="A98" s="5"/>
      <c r="B98" s="5"/>
      <c r="C98" s="3">
        <f>ROUND(用途別面積[[#This Row],[床面積]],1)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3">
        <f>ROUND(現場打杭[[#This Row],[コンクリート数量]],1)</f>
        <v>0</v>
      </c>
      <c r="K98" s="3" t="str" cm="1">
        <f t="array" aca="1" ref="K9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8" s="3" t="str" cm="1">
        <f t="array" aca="1" ref="L9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8" s="5"/>
      <c r="O98" s="5"/>
      <c r="P98" s="5"/>
      <c r="Q98" s="5"/>
      <c r="R98" s="5"/>
      <c r="S98" s="5"/>
      <c r="T98" s="3" t="str" cm="1">
        <f t="array" ref="T9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8" s="3" t="str">
        <f>IFERROR(INDEX(既製杭_map[sheet],MATCH(既製杭[[#This Row],[杭種]],既製杭_map[杭種],0)),"")</f>
        <v/>
      </c>
      <c r="V98" s="3" t="str" cm="1">
        <f t="array" ref="V9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8" s="5"/>
      <c r="Y98" s="5"/>
      <c r="Z98" s="5"/>
      <c r="AA98" s="3">
        <f>ROUND(現場打コンクリート[[#This Row],[数量]],1)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ROUND(PCaコンクリート_鉄筋無し[[#This Row],[数量]],1)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7">
      <c r="A99" s="5"/>
      <c r="B99" s="5"/>
      <c r="C99" s="3">
        <f>ROUND(用途別面積[[#This Row],[床面積]],1)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3">
        <f>ROUND(現場打杭[[#This Row],[コンクリート数量]],1)</f>
        <v>0</v>
      </c>
      <c r="K99" s="3" t="str" cm="1">
        <f t="array" aca="1" ref="K9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9" s="3" t="str" cm="1">
        <f t="array" aca="1" ref="L9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9" s="5"/>
      <c r="O99" s="5"/>
      <c r="P99" s="5"/>
      <c r="Q99" s="5"/>
      <c r="R99" s="5"/>
      <c r="S99" s="5"/>
      <c r="T99" s="3" t="str" cm="1">
        <f t="array" ref="T9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9" s="3" t="str">
        <f>IFERROR(INDEX(既製杭_map[sheet],MATCH(既製杭[[#This Row],[杭種]],既製杭_map[杭種],0)),"")</f>
        <v/>
      </c>
      <c r="V99" s="3" t="str" cm="1">
        <f t="array" ref="V9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9" s="5"/>
      <c r="Y99" s="5"/>
      <c r="Z99" s="5"/>
      <c r="AA99" s="3">
        <f>ROUND(現場打コンクリート[[#This Row],[数量]],1)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ROUND(PCaコンクリート_鉄筋無し[[#This Row],[数量]],1)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7">
      <c r="A100" s="5"/>
      <c r="B100" s="5"/>
      <c r="C100" s="3">
        <f>ROUND(用途別面積[[#This Row],[床面積]],1)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3">
        <f>ROUND(現場打杭[[#This Row],[コンクリート数量]],1)</f>
        <v>0</v>
      </c>
      <c r="K100" s="3" t="str" cm="1">
        <f t="array" aca="1" ref="K10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00" s="3" t="str" cm="1">
        <f t="array" aca="1" ref="L10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00" s="5"/>
      <c r="O100" s="5"/>
      <c r="P100" s="5"/>
      <c r="Q100" s="5"/>
      <c r="R100" s="5"/>
      <c r="S100" s="5"/>
      <c r="T100" s="3" t="str" cm="1">
        <f t="array" ref="T10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00" s="3" t="str">
        <f>IFERROR(INDEX(既製杭_map[sheet],MATCH(既製杭[[#This Row],[杭種]],既製杭_map[杭種],0)),"")</f>
        <v/>
      </c>
      <c r="V100" s="3" t="str" cm="1">
        <f t="array" ref="V10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0" s="5"/>
      <c r="Y100" s="5"/>
      <c r="Z100" s="5"/>
      <c r="AA100" s="3">
        <f>ROUND(現場打コンクリート[[#This Row],[数量]],1)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ROUND(PCaコンクリート_鉄筋無し[[#This Row],[数量]],1)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workbookViewId="0"/>
  </sheetViews>
  <sheetFormatPr defaultRowHeight="17.649999999999999" x14ac:dyDescent="0.7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7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7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7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48</v>
      </c>
      <c r="V3" t="s">
        <v>78</v>
      </c>
      <c r="W3" t="s">
        <v>151</v>
      </c>
      <c r="Y3">
        <v>120</v>
      </c>
      <c r="Z3" t="s">
        <v>78</v>
      </c>
      <c r="AA3" t="s">
        <v>162</v>
      </c>
    </row>
    <row r="4" spans="1:27" x14ac:dyDescent="0.7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45</v>
      </c>
      <c r="V4" t="s">
        <v>78</v>
      </c>
      <c r="W4" t="s">
        <v>150</v>
      </c>
      <c r="Y4">
        <v>100</v>
      </c>
      <c r="Z4" t="s">
        <v>78</v>
      </c>
      <c r="AA4" t="s">
        <v>161</v>
      </c>
    </row>
    <row r="5" spans="1:27" x14ac:dyDescent="0.7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42</v>
      </c>
      <c r="V5" t="s">
        <v>78</v>
      </c>
      <c r="W5" t="s">
        <v>149</v>
      </c>
      <c r="Y5">
        <v>80</v>
      </c>
      <c r="Z5" t="s">
        <v>78</v>
      </c>
      <c r="AA5" t="s">
        <v>160</v>
      </c>
    </row>
    <row r="6" spans="1:27" x14ac:dyDescent="0.7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36</v>
      </c>
      <c r="V6" t="s">
        <v>78</v>
      </c>
      <c r="W6" t="s">
        <v>148</v>
      </c>
      <c r="Y6">
        <v>60</v>
      </c>
      <c r="Z6" t="s">
        <v>78</v>
      </c>
      <c r="AA6" t="s">
        <v>159</v>
      </c>
    </row>
    <row r="7" spans="1:27" x14ac:dyDescent="0.7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48</v>
      </c>
      <c r="Z7" t="s">
        <v>78</v>
      </c>
      <c r="AA7" t="s">
        <v>158</v>
      </c>
    </row>
    <row r="8" spans="1:27" x14ac:dyDescent="0.7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27</v>
      </c>
      <c r="V8" t="s">
        <v>78</v>
      </c>
      <c r="W8" t="s">
        <v>146</v>
      </c>
      <c r="Y8">
        <v>45</v>
      </c>
      <c r="Z8" t="s">
        <v>78</v>
      </c>
      <c r="AA8" t="s">
        <v>157</v>
      </c>
    </row>
    <row r="9" spans="1:27" x14ac:dyDescent="0.7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24</v>
      </c>
      <c r="V9" t="s">
        <v>78</v>
      </c>
      <c r="W9" t="s">
        <v>145</v>
      </c>
      <c r="Y9">
        <v>42</v>
      </c>
      <c r="Z9" t="s">
        <v>78</v>
      </c>
      <c r="AA9" t="s">
        <v>156</v>
      </c>
    </row>
    <row r="10" spans="1:27" x14ac:dyDescent="0.7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21</v>
      </c>
      <c r="V10" t="s">
        <v>78</v>
      </c>
      <c r="W10" t="s">
        <v>144</v>
      </c>
      <c r="Y10">
        <v>36</v>
      </c>
      <c r="Z10" t="s">
        <v>78</v>
      </c>
      <c r="AA10" t="s">
        <v>155</v>
      </c>
    </row>
    <row r="11" spans="1:27" x14ac:dyDescent="0.7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18</v>
      </c>
      <c r="V11" t="s">
        <v>78</v>
      </c>
      <c r="W11" t="s">
        <v>143</v>
      </c>
      <c r="Y11">
        <v>30</v>
      </c>
      <c r="Z11" t="s">
        <v>78</v>
      </c>
      <c r="AA11" t="s">
        <v>154</v>
      </c>
    </row>
    <row r="12" spans="1:27" x14ac:dyDescent="0.7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27</v>
      </c>
      <c r="Z12" t="s">
        <v>78</v>
      </c>
      <c r="AA12" t="s">
        <v>153</v>
      </c>
    </row>
    <row r="13" spans="1:27" x14ac:dyDescent="0.7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24</v>
      </c>
      <c r="Z13" t="s">
        <v>78</v>
      </c>
      <c r="AA13" t="s">
        <v>152</v>
      </c>
    </row>
    <row r="14" spans="1:27" x14ac:dyDescent="0.7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7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7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2025-04-08T07:47:37Z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