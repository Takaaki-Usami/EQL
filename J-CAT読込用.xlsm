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mi\Desktop\"/>
    </mc:Choice>
  </mc:AlternateContent>
  <xr:revisionPtr revIDLastSave="0" documentId="8_{CA982DA3-710D-4799-AA9A-81B11B01B04D}" xr6:coauthVersionLast="47" xr6:coauthVersionMax="47" xr10:uidLastSave="{00000000-0000-0000-0000-000000000000}"/>
  <bookViews>
    <workbookView xWindow="-103" yWindow="-103" windowWidth="33120" windowHeight="18120" xr2:uid="{00000000-000D-0000-FFFF-FFFF00000000}"/>
  </bookViews>
  <sheets>
    <sheet name="J-CAT" sheetId="1" r:id="rId1"/>
    <sheet name="【【単一入力】】" sheetId="2" r:id="rId2"/>
    <sheet name="【【複数入力】】" sheetId="3" r:id="rId3"/>
    <sheet name="【【転記先マップ】】" sheetId="4" r:id="rId4"/>
  </sheets>
  <definedNames>
    <definedName name="_xleta.CELL" hidden="1" xlm="1">#NAME?</definedName>
    <definedName name="_xleta.SHEE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I4" i="3" l="1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AI21" i="3"/>
  <c r="AI22" i="3"/>
  <c r="AI23" i="3"/>
  <c r="AI24" i="3"/>
  <c r="AI25" i="3"/>
  <c r="AI26" i="3"/>
  <c r="AI27" i="3"/>
  <c r="AI28" i="3"/>
  <c r="AI29" i="3"/>
  <c r="AI30" i="3"/>
  <c r="AI31" i="3"/>
  <c r="AI32" i="3"/>
  <c r="AI33" i="3"/>
  <c r="AI34" i="3"/>
  <c r="AI35" i="3"/>
  <c r="AI36" i="3"/>
  <c r="AI37" i="3"/>
  <c r="AI38" i="3"/>
  <c r="AI39" i="3"/>
  <c r="AI40" i="3"/>
  <c r="AI41" i="3"/>
  <c r="AI42" i="3"/>
  <c r="AI43" i="3"/>
  <c r="AI44" i="3"/>
  <c r="AI45" i="3"/>
  <c r="AI46" i="3"/>
  <c r="AI47" i="3"/>
  <c r="AI48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3" i="3"/>
  <c r="AH3" i="3"/>
  <c r="AH4" i="3"/>
  <c r="AH5" i="3"/>
  <c r="AH6" i="3"/>
  <c r="AH7" i="3"/>
  <c r="AH8" i="3"/>
  <c r="AH9" i="3"/>
  <c r="AH10" i="3"/>
  <c r="AH11" i="3"/>
  <c r="AH12" i="3"/>
  <c r="AH13" i="3"/>
  <c r="AH14" i="3"/>
  <c r="AH15" i="3"/>
  <c r="AH16" i="3"/>
  <c r="AH17" i="3"/>
  <c r="AH18" i="3"/>
  <c r="AH19" i="3"/>
  <c r="AH20" i="3"/>
  <c r="AH21" i="3"/>
  <c r="AH22" i="3"/>
  <c r="AH23" i="3"/>
  <c r="AH24" i="3"/>
  <c r="AH25" i="3"/>
  <c r="AH26" i="3"/>
  <c r="AH27" i="3"/>
  <c r="AH28" i="3"/>
  <c r="AH29" i="3"/>
  <c r="AH30" i="3"/>
  <c r="AH31" i="3"/>
  <c r="AH32" i="3"/>
  <c r="AH33" i="3"/>
  <c r="AH34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48" i="3"/>
  <c r="AH49" i="3"/>
  <c r="AH50" i="3"/>
  <c r="AH51" i="3"/>
  <c r="AH52" i="3"/>
  <c r="AH53" i="3"/>
  <c r="AH54" i="3"/>
  <c r="AH55" i="3"/>
  <c r="AH56" i="3"/>
  <c r="AH57" i="3"/>
  <c r="AH58" i="3"/>
  <c r="AH59" i="3"/>
  <c r="AH60" i="3"/>
  <c r="AH61" i="3"/>
  <c r="AH62" i="3"/>
  <c r="AH63" i="3"/>
  <c r="AH64" i="3"/>
  <c r="AH65" i="3"/>
  <c r="AH66" i="3"/>
  <c r="AH67" i="3"/>
  <c r="AH68" i="3"/>
  <c r="AH69" i="3"/>
  <c r="AH70" i="3"/>
  <c r="AH71" i="3"/>
  <c r="AH72" i="3"/>
  <c r="AH73" i="3"/>
  <c r="AH74" i="3"/>
  <c r="AH75" i="3"/>
  <c r="AH76" i="3"/>
  <c r="AH77" i="3"/>
  <c r="AH78" i="3"/>
  <c r="AH79" i="3"/>
  <c r="AH80" i="3"/>
  <c r="AH81" i="3"/>
  <c r="AH82" i="3"/>
  <c r="AH83" i="3"/>
  <c r="AH84" i="3"/>
  <c r="AH85" i="3"/>
  <c r="AH86" i="3"/>
  <c r="AH87" i="3"/>
  <c r="AH88" i="3"/>
  <c r="AH89" i="3"/>
  <c r="AH90" i="3"/>
  <c r="AH91" i="3"/>
  <c r="AH92" i="3"/>
  <c r="AH93" i="3"/>
  <c r="AH94" i="3"/>
  <c r="AH95" i="3"/>
  <c r="AH96" i="3"/>
  <c r="AH97" i="3"/>
  <c r="AH98" i="3"/>
  <c r="AH99" i="3"/>
  <c r="AH100" i="3"/>
  <c r="AG4" i="3"/>
  <c r="AG5" i="3"/>
  <c r="AG6" i="3"/>
  <c r="AG7" i="3"/>
  <c r="AG8" i="3"/>
  <c r="AG9" i="3"/>
  <c r="AG10" i="3"/>
  <c r="AG11" i="3"/>
  <c r="AG12" i="3"/>
  <c r="AG13" i="3"/>
  <c r="AG14" i="3"/>
  <c r="AG15" i="3"/>
  <c r="AG16" i="3"/>
  <c r="AG17" i="3"/>
  <c r="AG18" i="3"/>
  <c r="AG19" i="3"/>
  <c r="AG20" i="3"/>
  <c r="AG21" i="3"/>
  <c r="AG22" i="3"/>
  <c r="AG23" i="3"/>
  <c r="AG24" i="3"/>
  <c r="AG25" i="3"/>
  <c r="AG26" i="3"/>
  <c r="AG27" i="3"/>
  <c r="AG28" i="3"/>
  <c r="AG29" i="3"/>
  <c r="AG30" i="3"/>
  <c r="AG31" i="3"/>
  <c r="AG32" i="3"/>
  <c r="AG33" i="3"/>
  <c r="AG34" i="3"/>
  <c r="AG35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48" i="3"/>
  <c r="AG49" i="3"/>
  <c r="AG50" i="3"/>
  <c r="AG51" i="3"/>
  <c r="AG52" i="3"/>
  <c r="AG53" i="3"/>
  <c r="AG54" i="3"/>
  <c r="AG55" i="3"/>
  <c r="AG56" i="3"/>
  <c r="AG57" i="3"/>
  <c r="AG58" i="3"/>
  <c r="AG59" i="3"/>
  <c r="AG60" i="3"/>
  <c r="AG61" i="3"/>
  <c r="AG62" i="3"/>
  <c r="AG63" i="3"/>
  <c r="AG64" i="3"/>
  <c r="AG65" i="3"/>
  <c r="AG66" i="3"/>
  <c r="AG67" i="3"/>
  <c r="AG68" i="3"/>
  <c r="AG69" i="3"/>
  <c r="AG70" i="3"/>
  <c r="AG71" i="3"/>
  <c r="AG72" i="3"/>
  <c r="AG73" i="3"/>
  <c r="AG74" i="3"/>
  <c r="AG75" i="3"/>
  <c r="AG76" i="3"/>
  <c r="AG77" i="3"/>
  <c r="AG78" i="3"/>
  <c r="AG79" i="3"/>
  <c r="AG80" i="3"/>
  <c r="AG81" i="3"/>
  <c r="AG82" i="3"/>
  <c r="AG83" i="3"/>
  <c r="AG84" i="3"/>
  <c r="AG85" i="3"/>
  <c r="AG86" i="3"/>
  <c r="AG87" i="3"/>
  <c r="AG88" i="3"/>
  <c r="AG89" i="3"/>
  <c r="AG90" i="3"/>
  <c r="AG91" i="3"/>
  <c r="AG92" i="3"/>
  <c r="AG93" i="3"/>
  <c r="AG94" i="3"/>
  <c r="AG95" i="3"/>
  <c r="AG96" i="3"/>
  <c r="AG97" i="3"/>
  <c r="AG98" i="3"/>
  <c r="AG99" i="3"/>
  <c r="AG100" i="3"/>
  <c r="AG3" i="3"/>
  <c r="AA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3" i="3"/>
  <c r="T4" i="3"/>
  <c r="U4" i="3"/>
  <c r="V4" i="3"/>
  <c r="T5" i="3"/>
  <c r="U5" i="3"/>
  <c r="V5" i="3"/>
  <c r="T6" i="3"/>
  <c r="U6" i="3"/>
  <c r="V6" i="3"/>
  <c r="T7" i="3"/>
  <c r="U7" i="3"/>
  <c r="V7" i="3"/>
  <c r="T8" i="3"/>
  <c r="U8" i="3"/>
  <c r="V8" i="3"/>
  <c r="T9" i="3"/>
  <c r="U9" i="3"/>
  <c r="V9" i="3"/>
  <c r="T10" i="3"/>
  <c r="U10" i="3"/>
  <c r="V10" i="3"/>
  <c r="T11" i="3"/>
  <c r="U11" i="3"/>
  <c r="V11" i="3"/>
  <c r="T12" i="3"/>
  <c r="U12" i="3"/>
  <c r="V12" i="3"/>
  <c r="T13" i="3"/>
  <c r="U13" i="3"/>
  <c r="V13" i="3"/>
  <c r="T14" i="3"/>
  <c r="U14" i="3"/>
  <c r="V14" i="3"/>
  <c r="T15" i="3"/>
  <c r="U15" i="3"/>
  <c r="V15" i="3"/>
  <c r="T16" i="3"/>
  <c r="U16" i="3"/>
  <c r="V16" i="3"/>
  <c r="T17" i="3"/>
  <c r="U17" i="3"/>
  <c r="V17" i="3"/>
  <c r="T18" i="3"/>
  <c r="U18" i="3"/>
  <c r="V18" i="3"/>
  <c r="T19" i="3"/>
  <c r="U19" i="3"/>
  <c r="V19" i="3"/>
  <c r="T20" i="3"/>
  <c r="U20" i="3"/>
  <c r="V20" i="3"/>
  <c r="T21" i="3"/>
  <c r="U21" i="3"/>
  <c r="V21" i="3"/>
  <c r="T22" i="3"/>
  <c r="U22" i="3"/>
  <c r="V22" i="3"/>
  <c r="T23" i="3"/>
  <c r="U23" i="3"/>
  <c r="V23" i="3"/>
  <c r="T24" i="3"/>
  <c r="U24" i="3"/>
  <c r="V24" i="3"/>
  <c r="T25" i="3"/>
  <c r="U25" i="3"/>
  <c r="V25" i="3"/>
  <c r="T26" i="3"/>
  <c r="U26" i="3"/>
  <c r="V26" i="3"/>
  <c r="T27" i="3"/>
  <c r="U27" i="3"/>
  <c r="V27" i="3"/>
  <c r="T28" i="3"/>
  <c r="U28" i="3"/>
  <c r="V28" i="3"/>
  <c r="T29" i="3"/>
  <c r="U29" i="3"/>
  <c r="V29" i="3"/>
  <c r="T30" i="3"/>
  <c r="U30" i="3"/>
  <c r="V30" i="3"/>
  <c r="T31" i="3"/>
  <c r="U31" i="3"/>
  <c r="V31" i="3"/>
  <c r="T32" i="3"/>
  <c r="U32" i="3"/>
  <c r="V32" i="3"/>
  <c r="T33" i="3"/>
  <c r="U33" i="3"/>
  <c r="V33" i="3"/>
  <c r="T34" i="3"/>
  <c r="U34" i="3"/>
  <c r="V34" i="3"/>
  <c r="T35" i="3"/>
  <c r="U35" i="3"/>
  <c r="V35" i="3"/>
  <c r="T36" i="3"/>
  <c r="U36" i="3"/>
  <c r="V36" i="3"/>
  <c r="T37" i="3"/>
  <c r="U37" i="3"/>
  <c r="V37" i="3"/>
  <c r="T38" i="3"/>
  <c r="U38" i="3"/>
  <c r="V38" i="3"/>
  <c r="T39" i="3"/>
  <c r="U39" i="3"/>
  <c r="V39" i="3"/>
  <c r="T40" i="3"/>
  <c r="U40" i="3"/>
  <c r="V40" i="3"/>
  <c r="T41" i="3"/>
  <c r="U41" i="3"/>
  <c r="V41" i="3"/>
  <c r="T42" i="3"/>
  <c r="U42" i="3"/>
  <c r="V42" i="3"/>
  <c r="T43" i="3"/>
  <c r="U43" i="3"/>
  <c r="V43" i="3"/>
  <c r="T44" i="3"/>
  <c r="U44" i="3"/>
  <c r="V44" i="3"/>
  <c r="T45" i="3"/>
  <c r="U45" i="3"/>
  <c r="V45" i="3"/>
  <c r="T46" i="3"/>
  <c r="U46" i="3"/>
  <c r="V46" i="3"/>
  <c r="T47" i="3"/>
  <c r="U47" i="3"/>
  <c r="V47" i="3"/>
  <c r="T48" i="3"/>
  <c r="U48" i="3"/>
  <c r="V48" i="3"/>
  <c r="T49" i="3"/>
  <c r="U49" i="3"/>
  <c r="V49" i="3"/>
  <c r="T50" i="3"/>
  <c r="U50" i="3"/>
  <c r="V50" i="3"/>
  <c r="T51" i="3"/>
  <c r="U51" i="3"/>
  <c r="V51" i="3"/>
  <c r="T52" i="3"/>
  <c r="U52" i="3"/>
  <c r="V52" i="3"/>
  <c r="T53" i="3"/>
  <c r="U53" i="3"/>
  <c r="V53" i="3"/>
  <c r="T54" i="3"/>
  <c r="U54" i="3"/>
  <c r="V54" i="3"/>
  <c r="T55" i="3"/>
  <c r="U55" i="3"/>
  <c r="V55" i="3"/>
  <c r="T56" i="3"/>
  <c r="U56" i="3"/>
  <c r="V56" i="3"/>
  <c r="T57" i="3"/>
  <c r="U57" i="3"/>
  <c r="V57" i="3"/>
  <c r="T58" i="3"/>
  <c r="U58" i="3"/>
  <c r="V58" i="3"/>
  <c r="T59" i="3"/>
  <c r="U59" i="3"/>
  <c r="V59" i="3"/>
  <c r="T60" i="3"/>
  <c r="U60" i="3"/>
  <c r="V60" i="3"/>
  <c r="T61" i="3"/>
  <c r="U61" i="3"/>
  <c r="V61" i="3"/>
  <c r="T62" i="3"/>
  <c r="U62" i="3"/>
  <c r="V62" i="3"/>
  <c r="T63" i="3"/>
  <c r="U63" i="3"/>
  <c r="V63" i="3"/>
  <c r="T64" i="3"/>
  <c r="U64" i="3"/>
  <c r="V64" i="3"/>
  <c r="T65" i="3"/>
  <c r="U65" i="3"/>
  <c r="V65" i="3"/>
  <c r="T66" i="3"/>
  <c r="U66" i="3"/>
  <c r="V66" i="3"/>
  <c r="T67" i="3"/>
  <c r="U67" i="3"/>
  <c r="V67" i="3"/>
  <c r="T68" i="3"/>
  <c r="U68" i="3"/>
  <c r="V68" i="3"/>
  <c r="T69" i="3"/>
  <c r="U69" i="3"/>
  <c r="V69" i="3"/>
  <c r="T70" i="3"/>
  <c r="U70" i="3"/>
  <c r="V70" i="3"/>
  <c r="T71" i="3"/>
  <c r="U71" i="3"/>
  <c r="V71" i="3"/>
  <c r="T72" i="3"/>
  <c r="U72" i="3"/>
  <c r="V72" i="3"/>
  <c r="T73" i="3"/>
  <c r="U73" i="3"/>
  <c r="V73" i="3"/>
  <c r="T74" i="3"/>
  <c r="U74" i="3"/>
  <c r="V74" i="3"/>
  <c r="T75" i="3"/>
  <c r="U75" i="3"/>
  <c r="V75" i="3"/>
  <c r="T76" i="3"/>
  <c r="U76" i="3"/>
  <c r="V76" i="3"/>
  <c r="T77" i="3"/>
  <c r="U77" i="3"/>
  <c r="V77" i="3"/>
  <c r="T78" i="3"/>
  <c r="U78" i="3"/>
  <c r="V78" i="3"/>
  <c r="T79" i="3"/>
  <c r="U79" i="3"/>
  <c r="V79" i="3"/>
  <c r="T80" i="3"/>
  <c r="U80" i="3"/>
  <c r="V80" i="3"/>
  <c r="T81" i="3"/>
  <c r="U81" i="3"/>
  <c r="V81" i="3"/>
  <c r="T82" i="3"/>
  <c r="U82" i="3"/>
  <c r="V82" i="3"/>
  <c r="T83" i="3"/>
  <c r="U83" i="3"/>
  <c r="V83" i="3"/>
  <c r="T84" i="3"/>
  <c r="U84" i="3"/>
  <c r="V84" i="3"/>
  <c r="T85" i="3"/>
  <c r="U85" i="3"/>
  <c r="V85" i="3"/>
  <c r="T86" i="3"/>
  <c r="U86" i="3"/>
  <c r="V86" i="3"/>
  <c r="T87" i="3"/>
  <c r="U87" i="3"/>
  <c r="V87" i="3"/>
  <c r="T88" i="3"/>
  <c r="U88" i="3"/>
  <c r="V88" i="3"/>
  <c r="T89" i="3"/>
  <c r="U89" i="3"/>
  <c r="V89" i="3"/>
  <c r="T90" i="3"/>
  <c r="U90" i="3"/>
  <c r="V90" i="3"/>
  <c r="T91" i="3"/>
  <c r="U91" i="3"/>
  <c r="V91" i="3"/>
  <c r="T92" i="3"/>
  <c r="U92" i="3"/>
  <c r="V92" i="3"/>
  <c r="T93" i="3"/>
  <c r="U93" i="3"/>
  <c r="V93" i="3"/>
  <c r="T94" i="3"/>
  <c r="U94" i="3"/>
  <c r="V94" i="3"/>
  <c r="T95" i="3"/>
  <c r="U95" i="3"/>
  <c r="V95" i="3"/>
  <c r="T96" i="3"/>
  <c r="U96" i="3"/>
  <c r="V96" i="3"/>
  <c r="T97" i="3"/>
  <c r="U97" i="3"/>
  <c r="V97" i="3"/>
  <c r="T98" i="3"/>
  <c r="U98" i="3"/>
  <c r="V98" i="3"/>
  <c r="T99" i="3"/>
  <c r="U99" i="3"/>
  <c r="V99" i="3"/>
  <c r="T100" i="3"/>
  <c r="U100" i="3"/>
  <c r="V100" i="3"/>
  <c r="V3" i="3"/>
  <c r="U3" i="3"/>
  <c r="T3" i="3"/>
  <c r="J100" i="3"/>
  <c r="E100" i="3"/>
  <c r="D100" i="3"/>
  <c r="C100" i="3"/>
  <c r="J99" i="3"/>
  <c r="E99" i="3"/>
  <c r="D99" i="3"/>
  <c r="C99" i="3"/>
  <c r="J98" i="3"/>
  <c r="E98" i="3"/>
  <c r="D98" i="3"/>
  <c r="C98" i="3"/>
  <c r="J97" i="3"/>
  <c r="E97" i="3"/>
  <c r="D97" i="3"/>
  <c r="C97" i="3"/>
  <c r="J96" i="3"/>
  <c r="E96" i="3"/>
  <c r="D96" i="3"/>
  <c r="C96" i="3"/>
  <c r="J95" i="3"/>
  <c r="E95" i="3"/>
  <c r="D95" i="3"/>
  <c r="C95" i="3"/>
  <c r="J94" i="3"/>
  <c r="E94" i="3"/>
  <c r="D94" i="3"/>
  <c r="C94" i="3"/>
  <c r="J93" i="3"/>
  <c r="E93" i="3"/>
  <c r="D93" i="3"/>
  <c r="C93" i="3"/>
  <c r="J92" i="3"/>
  <c r="E92" i="3"/>
  <c r="D92" i="3"/>
  <c r="C92" i="3"/>
  <c r="J91" i="3"/>
  <c r="E91" i="3"/>
  <c r="D91" i="3"/>
  <c r="C91" i="3"/>
  <c r="J90" i="3"/>
  <c r="E90" i="3"/>
  <c r="D90" i="3"/>
  <c r="C90" i="3"/>
  <c r="J89" i="3"/>
  <c r="E89" i="3"/>
  <c r="D89" i="3"/>
  <c r="C89" i="3"/>
  <c r="J88" i="3"/>
  <c r="E88" i="3"/>
  <c r="D88" i="3"/>
  <c r="C88" i="3"/>
  <c r="J87" i="3"/>
  <c r="E87" i="3"/>
  <c r="D87" i="3"/>
  <c r="C87" i="3"/>
  <c r="J86" i="3"/>
  <c r="E86" i="3"/>
  <c r="D86" i="3"/>
  <c r="C86" i="3"/>
  <c r="J85" i="3"/>
  <c r="E85" i="3"/>
  <c r="D85" i="3"/>
  <c r="C85" i="3"/>
  <c r="J84" i="3"/>
  <c r="E84" i="3"/>
  <c r="D84" i="3"/>
  <c r="C84" i="3"/>
  <c r="J83" i="3"/>
  <c r="E83" i="3"/>
  <c r="D83" i="3"/>
  <c r="C83" i="3"/>
  <c r="J82" i="3"/>
  <c r="E82" i="3"/>
  <c r="D82" i="3"/>
  <c r="C82" i="3"/>
  <c r="J81" i="3"/>
  <c r="E81" i="3"/>
  <c r="D81" i="3"/>
  <c r="C81" i="3"/>
  <c r="J80" i="3"/>
  <c r="E80" i="3"/>
  <c r="D80" i="3"/>
  <c r="C80" i="3"/>
  <c r="J79" i="3"/>
  <c r="E79" i="3"/>
  <c r="D79" i="3"/>
  <c r="C79" i="3"/>
  <c r="J78" i="3"/>
  <c r="E78" i="3"/>
  <c r="D78" i="3"/>
  <c r="C78" i="3"/>
  <c r="J77" i="3"/>
  <c r="E77" i="3"/>
  <c r="D77" i="3"/>
  <c r="C77" i="3"/>
  <c r="J76" i="3"/>
  <c r="E76" i="3"/>
  <c r="D76" i="3"/>
  <c r="C76" i="3"/>
  <c r="J75" i="3"/>
  <c r="E75" i="3"/>
  <c r="D75" i="3"/>
  <c r="C75" i="3"/>
  <c r="J74" i="3"/>
  <c r="E74" i="3"/>
  <c r="D74" i="3"/>
  <c r="C74" i="3"/>
  <c r="J73" i="3"/>
  <c r="E73" i="3"/>
  <c r="D73" i="3"/>
  <c r="C73" i="3"/>
  <c r="J72" i="3"/>
  <c r="E72" i="3"/>
  <c r="D72" i="3"/>
  <c r="C72" i="3"/>
  <c r="J71" i="3"/>
  <c r="E71" i="3"/>
  <c r="D71" i="3"/>
  <c r="C71" i="3"/>
  <c r="J70" i="3"/>
  <c r="E70" i="3"/>
  <c r="D70" i="3"/>
  <c r="C70" i="3"/>
  <c r="J69" i="3"/>
  <c r="E69" i="3"/>
  <c r="D69" i="3"/>
  <c r="C69" i="3"/>
  <c r="J68" i="3"/>
  <c r="E68" i="3"/>
  <c r="D68" i="3"/>
  <c r="C68" i="3"/>
  <c r="J67" i="3"/>
  <c r="E67" i="3"/>
  <c r="D67" i="3"/>
  <c r="C67" i="3"/>
  <c r="J66" i="3"/>
  <c r="E66" i="3"/>
  <c r="D66" i="3"/>
  <c r="C66" i="3"/>
  <c r="J65" i="3"/>
  <c r="E65" i="3"/>
  <c r="D65" i="3"/>
  <c r="C65" i="3"/>
  <c r="J64" i="3"/>
  <c r="E64" i="3"/>
  <c r="D64" i="3"/>
  <c r="C64" i="3"/>
  <c r="J63" i="3"/>
  <c r="E63" i="3"/>
  <c r="D63" i="3"/>
  <c r="C63" i="3"/>
  <c r="J62" i="3"/>
  <c r="E62" i="3"/>
  <c r="D62" i="3"/>
  <c r="C62" i="3"/>
  <c r="J61" i="3"/>
  <c r="E61" i="3"/>
  <c r="D61" i="3"/>
  <c r="C61" i="3"/>
  <c r="J60" i="3"/>
  <c r="E60" i="3"/>
  <c r="D60" i="3"/>
  <c r="C60" i="3"/>
  <c r="J59" i="3"/>
  <c r="E59" i="3"/>
  <c r="D59" i="3"/>
  <c r="C59" i="3"/>
  <c r="J58" i="3"/>
  <c r="E58" i="3"/>
  <c r="D58" i="3"/>
  <c r="C58" i="3"/>
  <c r="J57" i="3"/>
  <c r="E57" i="3"/>
  <c r="D57" i="3"/>
  <c r="C57" i="3"/>
  <c r="J56" i="3"/>
  <c r="E56" i="3"/>
  <c r="D56" i="3"/>
  <c r="C56" i="3"/>
  <c r="J55" i="3"/>
  <c r="E55" i="3"/>
  <c r="D55" i="3"/>
  <c r="C55" i="3"/>
  <c r="J54" i="3"/>
  <c r="E54" i="3"/>
  <c r="D54" i="3"/>
  <c r="C54" i="3"/>
  <c r="J53" i="3"/>
  <c r="E53" i="3"/>
  <c r="D53" i="3"/>
  <c r="C53" i="3"/>
  <c r="J52" i="3"/>
  <c r="E52" i="3"/>
  <c r="D52" i="3"/>
  <c r="C52" i="3"/>
  <c r="J51" i="3"/>
  <c r="E51" i="3"/>
  <c r="D51" i="3"/>
  <c r="C51" i="3"/>
  <c r="J50" i="3"/>
  <c r="E50" i="3"/>
  <c r="D50" i="3"/>
  <c r="C50" i="3"/>
  <c r="J49" i="3"/>
  <c r="E49" i="3"/>
  <c r="D49" i="3"/>
  <c r="C49" i="3"/>
  <c r="J48" i="3"/>
  <c r="E48" i="3"/>
  <c r="D48" i="3"/>
  <c r="C48" i="3"/>
  <c r="J47" i="3"/>
  <c r="E47" i="3"/>
  <c r="D47" i="3"/>
  <c r="C47" i="3"/>
  <c r="J46" i="3"/>
  <c r="E46" i="3"/>
  <c r="D46" i="3"/>
  <c r="C46" i="3"/>
  <c r="J45" i="3"/>
  <c r="E45" i="3"/>
  <c r="D45" i="3"/>
  <c r="C45" i="3"/>
  <c r="J44" i="3"/>
  <c r="E44" i="3"/>
  <c r="D44" i="3"/>
  <c r="C44" i="3"/>
  <c r="J43" i="3"/>
  <c r="E43" i="3"/>
  <c r="D43" i="3"/>
  <c r="C43" i="3"/>
  <c r="J42" i="3"/>
  <c r="E42" i="3"/>
  <c r="D42" i="3"/>
  <c r="C42" i="3"/>
  <c r="J41" i="3"/>
  <c r="E41" i="3"/>
  <c r="D41" i="3"/>
  <c r="C41" i="3"/>
  <c r="J40" i="3"/>
  <c r="E40" i="3"/>
  <c r="D40" i="3"/>
  <c r="C40" i="3"/>
  <c r="J39" i="3"/>
  <c r="E39" i="3"/>
  <c r="D39" i="3"/>
  <c r="C39" i="3"/>
  <c r="J38" i="3"/>
  <c r="E38" i="3"/>
  <c r="D38" i="3"/>
  <c r="C38" i="3"/>
  <c r="J37" i="3"/>
  <c r="E37" i="3"/>
  <c r="D37" i="3"/>
  <c r="C37" i="3"/>
  <c r="J36" i="3"/>
  <c r="E36" i="3"/>
  <c r="D36" i="3"/>
  <c r="C36" i="3"/>
  <c r="J35" i="3"/>
  <c r="E35" i="3"/>
  <c r="D35" i="3"/>
  <c r="C35" i="3"/>
  <c r="J34" i="3"/>
  <c r="E34" i="3"/>
  <c r="D34" i="3"/>
  <c r="C34" i="3"/>
  <c r="J33" i="3"/>
  <c r="E33" i="3"/>
  <c r="D33" i="3"/>
  <c r="C33" i="3"/>
  <c r="J32" i="3"/>
  <c r="E32" i="3"/>
  <c r="D32" i="3"/>
  <c r="C32" i="3"/>
  <c r="J31" i="3"/>
  <c r="E31" i="3"/>
  <c r="D31" i="3"/>
  <c r="C31" i="3"/>
  <c r="J30" i="3"/>
  <c r="E30" i="3"/>
  <c r="D30" i="3"/>
  <c r="C30" i="3"/>
  <c r="J29" i="3"/>
  <c r="E29" i="3"/>
  <c r="D29" i="3"/>
  <c r="C29" i="3"/>
  <c r="J28" i="3"/>
  <c r="E28" i="3"/>
  <c r="D28" i="3"/>
  <c r="C28" i="3"/>
  <c r="J27" i="3"/>
  <c r="E27" i="3"/>
  <c r="D27" i="3"/>
  <c r="C27" i="3"/>
  <c r="J26" i="3"/>
  <c r="E26" i="3"/>
  <c r="D26" i="3"/>
  <c r="C26" i="3"/>
  <c r="J25" i="3"/>
  <c r="E25" i="3"/>
  <c r="D25" i="3"/>
  <c r="C25" i="3"/>
  <c r="J24" i="3"/>
  <c r="E24" i="3"/>
  <c r="D24" i="3"/>
  <c r="C24" i="3"/>
  <c r="J23" i="3"/>
  <c r="E23" i="3"/>
  <c r="D23" i="3"/>
  <c r="C23" i="3"/>
  <c r="J22" i="3"/>
  <c r="E22" i="3"/>
  <c r="D22" i="3"/>
  <c r="C22" i="3"/>
  <c r="J21" i="3"/>
  <c r="E21" i="3"/>
  <c r="D21" i="3"/>
  <c r="C21" i="3"/>
  <c r="J20" i="3"/>
  <c r="E20" i="3"/>
  <c r="D20" i="3"/>
  <c r="C20" i="3"/>
  <c r="J19" i="3"/>
  <c r="E19" i="3"/>
  <c r="D19" i="3"/>
  <c r="C19" i="3"/>
  <c r="J18" i="3"/>
  <c r="E18" i="3"/>
  <c r="D18" i="3"/>
  <c r="C18" i="3"/>
  <c r="J17" i="3"/>
  <c r="E17" i="3"/>
  <c r="D17" i="3"/>
  <c r="C17" i="3"/>
  <c r="J16" i="3"/>
  <c r="E16" i="3"/>
  <c r="D16" i="3"/>
  <c r="C16" i="3"/>
  <c r="J15" i="3"/>
  <c r="E15" i="3"/>
  <c r="D15" i="3"/>
  <c r="C15" i="3"/>
  <c r="J14" i="3"/>
  <c r="E14" i="3"/>
  <c r="D14" i="3"/>
  <c r="C14" i="3"/>
  <c r="J13" i="3"/>
  <c r="E13" i="3"/>
  <c r="D13" i="3"/>
  <c r="C13" i="3"/>
  <c r="J12" i="3"/>
  <c r="E12" i="3"/>
  <c r="D12" i="3"/>
  <c r="C12" i="3"/>
  <c r="J11" i="3"/>
  <c r="E11" i="3"/>
  <c r="D11" i="3"/>
  <c r="C11" i="3"/>
  <c r="J10" i="3"/>
  <c r="E10" i="3"/>
  <c r="D10" i="3"/>
  <c r="C10" i="3"/>
  <c r="J9" i="3"/>
  <c r="E9" i="3"/>
  <c r="D9" i="3"/>
  <c r="C9" i="3"/>
  <c r="J8" i="3"/>
  <c r="E8" i="3"/>
  <c r="D8" i="3"/>
  <c r="C8" i="3"/>
  <c r="J7" i="3"/>
  <c r="E7" i="3"/>
  <c r="D7" i="3"/>
  <c r="C7" i="3"/>
  <c r="J6" i="3"/>
  <c r="E6" i="3"/>
  <c r="D6" i="3"/>
  <c r="C6" i="3"/>
  <c r="J5" i="3"/>
  <c r="E5" i="3"/>
  <c r="D5" i="3"/>
  <c r="C5" i="3"/>
  <c r="J4" i="3"/>
  <c r="E4" i="3"/>
  <c r="D4" i="3"/>
  <c r="C4" i="3"/>
  <c r="J3" i="3"/>
  <c r="E3" i="3"/>
  <c r="D3" i="3"/>
  <c r="C3" i="3"/>
  <c r="AB7" i="3" a="1"/>
  <c r="AC13" i="3" a="1"/>
  <c r="AB23" i="3" a="1"/>
  <c r="AC29" i="3" a="1"/>
  <c r="AB39" i="3" a="1"/>
  <c r="AC45" i="3" a="1"/>
  <c r="AB55" i="3" a="1"/>
  <c r="AC61" i="3" a="1"/>
  <c r="AB71" i="3" a="1"/>
  <c r="AC77" i="3" a="1"/>
  <c r="AB87" i="3" a="1"/>
  <c r="AC93" i="3" a="1"/>
  <c r="AC51" i="3" a="1"/>
  <c r="AB26" i="3" a="1"/>
  <c r="AB4" i="3" a="1"/>
  <c r="AC10" i="3" a="1"/>
  <c r="AB20" i="3" a="1"/>
  <c r="AC26" i="3" a="1"/>
  <c r="AB36" i="3" a="1"/>
  <c r="AC42" i="3" a="1"/>
  <c r="AB52" i="3" a="1"/>
  <c r="AC58" i="3" a="1"/>
  <c r="AB68" i="3" a="1"/>
  <c r="AC74" i="3" a="1"/>
  <c r="AB84" i="3" a="1"/>
  <c r="AC90" i="3" a="1"/>
  <c r="AB100" i="3" a="1"/>
  <c r="AC67" i="3" a="1"/>
  <c r="AC7" i="3" a="1"/>
  <c r="AB17" i="3" a="1"/>
  <c r="AC23" i="3" a="1"/>
  <c r="AB33" i="3" a="1"/>
  <c r="AC39" i="3" a="1"/>
  <c r="AB49" i="3" a="1"/>
  <c r="AC55" i="3" a="1"/>
  <c r="AB65" i="3" a="1"/>
  <c r="AC71" i="3" a="1"/>
  <c r="AB81" i="3" a="1"/>
  <c r="AC87" i="3" a="1"/>
  <c r="AB97" i="3" a="1"/>
  <c r="AB45" i="3" a="1"/>
  <c r="AC4" i="3" a="1"/>
  <c r="AB14" i="3" a="1"/>
  <c r="AC20" i="3" a="1"/>
  <c r="AB30" i="3" a="1"/>
  <c r="AC36" i="3" a="1"/>
  <c r="AB46" i="3" a="1"/>
  <c r="AC52" i="3" a="1"/>
  <c r="AB62" i="3" a="1"/>
  <c r="AC68" i="3" a="1"/>
  <c r="AB78" i="3" a="1"/>
  <c r="AC84" i="3" a="1"/>
  <c r="AB94" i="3" a="1"/>
  <c r="AC100" i="3" a="1"/>
  <c r="AC35" i="3" a="1"/>
  <c r="AC96" i="3" a="1"/>
  <c r="AB11" i="3" a="1"/>
  <c r="AC17" i="3" a="1"/>
  <c r="AB27" i="3" a="1"/>
  <c r="AC33" i="3" a="1"/>
  <c r="AB43" i="3" a="1"/>
  <c r="AC49" i="3" a="1"/>
  <c r="AB59" i="3" a="1"/>
  <c r="AC65" i="3" a="1"/>
  <c r="AB75" i="3" a="1"/>
  <c r="AC81" i="3" a="1"/>
  <c r="AB91" i="3" a="1"/>
  <c r="AC97" i="3" a="1"/>
  <c r="AC83" i="3" a="1"/>
  <c r="AB8" i="3" a="1"/>
  <c r="AC14" i="3" a="1"/>
  <c r="AB24" i="3" a="1"/>
  <c r="AC30" i="3" a="1"/>
  <c r="AB40" i="3" a="1"/>
  <c r="AC46" i="3" a="1"/>
  <c r="AB56" i="3" a="1"/>
  <c r="AC62" i="3" a="1"/>
  <c r="AB72" i="3" a="1"/>
  <c r="AC78" i="3" a="1"/>
  <c r="AB88" i="3" a="1"/>
  <c r="AC94" i="3" a="1"/>
  <c r="AB29" i="3" a="1"/>
  <c r="AB5" i="3" a="1"/>
  <c r="AC11" i="3" a="1"/>
  <c r="AB21" i="3" a="1"/>
  <c r="AC27" i="3" a="1"/>
  <c r="AB37" i="3" a="1"/>
  <c r="AC43" i="3" a="1"/>
  <c r="AB53" i="3" a="1"/>
  <c r="AC59" i="3" a="1"/>
  <c r="AB69" i="3" a="1"/>
  <c r="AC75" i="3" a="1"/>
  <c r="AB85" i="3" a="1"/>
  <c r="AC91" i="3" a="1"/>
  <c r="AC19" i="3" a="1"/>
  <c r="AC48" i="3" a="1"/>
  <c r="AC8" i="3" a="1"/>
  <c r="AB18" i="3" a="1"/>
  <c r="AC24" i="3" a="1"/>
  <c r="AB34" i="3" a="1"/>
  <c r="AC40" i="3" a="1"/>
  <c r="AB50" i="3" a="1"/>
  <c r="AC56" i="3" a="1"/>
  <c r="AB66" i="3" a="1"/>
  <c r="AC72" i="3" a="1"/>
  <c r="AB82" i="3" a="1"/>
  <c r="AC88" i="3" a="1"/>
  <c r="AB98" i="3" a="1"/>
  <c r="AB90" i="3" a="1"/>
  <c r="AC5" i="3" a="1"/>
  <c r="AB15" i="3" a="1"/>
  <c r="AC21" i="3" a="1"/>
  <c r="AB31" i="3" a="1"/>
  <c r="AC37" i="3" a="1"/>
  <c r="AB47" i="3" a="1"/>
  <c r="AC53" i="3" a="1"/>
  <c r="AB63" i="3" a="1"/>
  <c r="AC69" i="3" a="1"/>
  <c r="AB79" i="3" a="1"/>
  <c r="AC85" i="3" a="1"/>
  <c r="AB95" i="3" a="1"/>
  <c r="AB74" i="3" a="1"/>
  <c r="AB12" i="3" a="1"/>
  <c r="AC18" i="3" a="1"/>
  <c r="AB28" i="3" a="1"/>
  <c r="AC34" i="3" a="1"/>
  <c r="AB44" i="3" a="1"/>
  <c r="AC50" i="3" a="1"/>
  <c r="AB60" i="3" a="1"/>
  <c r="AC66" i="3" a="1"/>
  <c r="AB76" i="3" a="1"/>
  <c r="AC82" i="3" a="1"/>
  <c r="AB92" i="3" a="1"/>
  <c r="AC98" i="3" a="1"/>
  <c r="AB13" i="3" a="1"/>
  <c r="AB93" i="3" a="1"/>
  <c r="AB42" i="3" a="1"/>
  <c r="AC64" i="3" a="1"/>
  <c r="AB9" i="3" a="1"/>
  <c r="AC15" i="3" a="1"/>
  <c r="AB25" i="3" a="1"/>
  <c r="AC31" i="3" a="1"/>
  <c r="AB41" i="3" a="1"/>
  <c r="AC47" i="3" a="1"/>
  <c r="AB57" i="3" a="1"/>
  <c r="AC63" i="3" a="1"/>
  <c r="AB73" i="3" a="1"/>
  <c r="AC79" i="3" a="1"/>
  <c r="AB89" i="3" a="1"/>
  <c r="AC95" i="3" a="1"/>
  <c r="AB61" i="3" a="1"/>
  <c r="AB10" i="3" a="1"/>
  <c r="AB6" i="3" a="1"/>
  <c r="AC12" i="3" a="1"/>
  <c r="AB22" i="3" a="1"/>
  <c r="AC28" i="3" a="1"/>
  <c r="AB38" i="3" a="1"/>
  <c r="AC44" i="3" a="1"/>
  <c r="AB54" i="3" a="1"/>
  <c r="AC60" i="3" a="1"/>
  <c r="AB70" i="3" a="1"/>
  <c r="AC76" i="3" a="1"/>
  <c r="AB86" i="3" a="1"/>
  <c r="AC92" i="3" a="1"/>
  <c r="AC99" i="3" a="1"/>
  <c r="AC32" i="3" a="1"/>
  <c r="AC80" i="3" a="1"/>
  <c r="AC9" i="3" a="1"/>
  <c r="AB19" i="3" a="1"/>
  <c r="AC25" i="3" a="1"/>
  <c r="AB35" i="3" a="1"/>
  <c r="AC41" i="3" a="1"/>
  <c r="AB51" i="3" a="1"/>
  <c r="AC57" i="3" a="1"/>
  <c r="AB67" i="3" a="1"/>
  <c r="AC73" i="3" a="1"/>
  <c r="AB83" i="3" a="1"/>
  <c r="AC89" i="3" a="1"/>
  <c r="AB99" i="3" a="1"/>
  <c r="AC16" i="3" a="1"/>
  <c r="AB58" i="3" a="1"/>
  <c r="AC6" i="3" a="1"/>
  <c r="AB16" i="3" a="1"/>
  <c r="AC22" i="3" a="1"/>
  <c r="AB32" i="3" a="1"/>
  <c r="AC38" i="3" a="1"/>
  <c r="AB48" i="3" a="1"/>
  <c r="AC54" i="3" a="1"/>
  <c r="AB64" i="3" a="1"/>
  <c r="AC70" i="3" a="1"/>
  <c r="AB80" i="3" a="1"/>
  <c r="AC86" i="3" a="1"/>
  <c r="AB96" i="3" a="1"/>
  <c r="AB77" i="3" a="1"/>
  <c r="AC3" i="3" a="1"/>
  <c r="AB3" i="3" a="1"/>
  <c r="K4" i="3" a="1"/>
  <c r="K12" i="3" a="1"/>
  <c r="K20" i="3" a="1"/>
  <c r="K28" i="3" a="1"/>
  <c r="K36" i="3" a="1"/>
  <c r="K44" i="3" a="1"/>
  <c r="K52" i="3" a="1"/>
  <c r="K60" i="3" a="1"/>
  <c r="K68" i="3" a="1"/>
  <c r="K76" i="3" a="1"/>
  <c r="K84" i="3" a="1"/>
  <c r="K92" i="3" a="1"/>
  <c r="K100" i="3" a="1"/>
  <c r="K51" i="3" a="1"/>
  <c r="K35" i="3" a="1"/>
  <c r="K5" i="3" a="1"/>
  <c r="K13" i="3" a="1"/>
  <c r="K21" i="3" a="1"/>
  <c r="K29" i="3" a="1"/>
  <c r="K37" i="3" a="1"/>
  <c r="K45" i="3" a="1"/>
  <c r="K53" i="3" a="1"/>
  <c r="K61" i="3" a="1"/>
  <c r="K69" i="3" a="1"/>
  <c r="K77" i="3" a="1"/>
  <c r="K85" i="3" a="1"/>
  <c r="K93" i="3" a="1"/>
  <c r="K11" i="3" a="1"/>
  <c r="K99" i="3" a="1"/>
  <c r="K6" i="3" a="1"/>
  <c r="K14" i="3" a="1"/>
  <c r="K22" i="3" a="1"/>
  <c r="K30" i="3" a="1"/>
  <c r="K38" i="3" a="1"/>
  <c r="K46" i="3" a="1"/>
  <c r="K54" i="3" a="1"/>
  <c r="K62" i="3" a="1"/>
  <c r="K70" i="3" a="1"/>
  <c r="K78" i="3" a="1"/>
  <c r="K86" i="3" a="1"/>
  <c r="K94" i="3" a="1"/>
  <c r="K67" i="3" a="1"/>
  <c r="K19" i="3" a="1"/>
  <c r="K7" i="3" a="1"/>
  <c r="K15" i="3" a="1"/>
  <c r="K23" i="3" a="1"/>
  <c r="K31" i="3" a="1"/>
  <c r="K39" i="3" a="1"/>
  <c r="K47" i="3" a="1"/>
  <c r="K55" i="3" a="1"/>
  <c r="K63" i="3" a="1"/>
  <c r="K71" i="3" a="1"/>
  <c r="K79" i="3" a="1"/>
  <c r="K87" i="3" a="1"/>
  <c r="K95" i="3" a="1"/>
  <c r="K75" i="3" a="1"/>
  <c r="K8" i="3" a="1"/>
  <c r="K16" i="3" a="1"/>
  <c r="K24" i="3" a="1"/>
  <c r="K32" i="3" a="1"/>
  <c r="K40" i="3" a="1"/>
  <c r="K48" i="3" a="1"/>
  <c r="K56" i="3" a="1"/>
  <c r="K64" i="3" a="1"/>
  <c r="K72" i="3" a="1"/>
  <c r="K80" i="3" a="1"/>
  <c r="K88" i="3" a="1"/>
  <c r="K96" i="3" a="1"/>
  <c r="K43" i="3" a="1"/>
  <c r="K27" i="3" a="1"/>
  <c r="K9" i="3" a="1"/>
  <c r="K17" i="3" a="1"/>
  <c r="K25" i="3" a="1"/>
  <c r="K33" i="3" a="1"/>
  <c r="K41" i="3" a="1"/>
  <c r="K49" i="3" a="1"/>
  <c r="K57" i="3" a="1"/>
  <c r="K65" i="3" a="1"/>
  <c r="K73" i="3" a="1"/>
  <c r="K81" i="3" a="1"/>
  <c r="K89" i="3" a="1"/>
  <c r="K97" i="3" a="1"/>
  <c r="K83" i="3" a="1"/>
  <c r="K10" i="3" a="1"/>
  <c r="K18" i="3" a="1"/>
  <c r="K26" i="3" a="1"/>
  <c r="K34" i="3" a="1"/>
  <c r="K42" i="3" a="1"/>
  <c r="K50" i="3" a="1"/>
  <c r="K58" i="3" a="1"/>
  <c r="K66" i="3" a="1"/>
  <c r="K74" i="3" a="1"/>
  <c r="K82" i="3" a="1"/>
  <c r="K90" i="3" a="1"/>
  <c r="K98" i="3" a="1"/>
  <c r="K91" i="3" a="1"/>
  <c r="K59" i="3" a="1"/>
  <c r="K3" i="3" a="1"/>
  <c r="L4" i="3" a="1"/>
  <c r="L12" i="3" a="1"/>
  <c r="L20" i="3" a="1"/>
  <c r="L28" i="3" a="1"/>
  <c r="L36" i="3" a="1"/>
  <c r="L44" i="3" a="1"/>
  <c r="L52" i="3" a="1"/>
  <c r="L60" i="3" a="1"/>
  <c r="L68" i="3" a="1"/>
  <c r="L76" i="3" a="1"/>
  <c r="L84" i="3" a="1"/>
  <c r="L92" i="3" a="1"/>
  <c r="L100" i="3" a="1"/>
  <c r="L51" i="3" a="1"/>
  <c r="L75" i="3" a="1"/>
  <c r="L5" i="3" a="1"/>
  <c r="L13" i="3" a="1"/>
  <c r="L21" i="3" a="1"/>
  <c r="L29" i="3" a="1"/>
  <c r="L37" i="3" a="1"/>
  <c r="L45" i="3" a="1"/>
  <c r="L53" i="3" a="1"/>
  <c r="L61" i="3" a="1"/>
  <c r="L69" i="3" a="1"/>
  <c r="L77" i="3" a="1"/>
  <c r="L85" i="3" a="1"/>
  <c r="L93" i="3" a="1"/>
  <c r="L99" i="3" a="1"/>
  <c r="L11" i="3" a="1"/>
  <c r="L6" i="3" a="1"/>
  <c r="L14" i="3" a="1"/>
  <c r="L22" i="3" a="1"/>
  <c r="L30" i="3" a="1"/>
  <c r="L38" i="3" a="1"/>
  <c r="L46" i="3" a="1"/>
  <c r="L54" i="3" a="1"/>
  <c r="L62" i="3" a="1"/>
  <c r="L70" i="3" a="1"/>
  <c r="L78" i="3" a="1"/>
  <c r="L86" i="3" a="1"/>
  <c r="L94" i="3" a="1"/>
  <c r="L27" i="3" a="1"/>
  <c r="L7" i="3" a="1"/>
  <c r="L15" i="3" a="1"/>
  <c r="L23" i="3" a="1"/>
  <c r="L31" i="3" a="1"/>
  <c r="L39" i="3" a="1"/>
  <c r="L47" i="3" a="1"/>
  <c r="L55" i="3" a="1"/>
  <c r="L63" i="3" a="1"/>
  <c r="L71" i="3" a="1"/>
  <c r="L79" i="3" a="1"/>
  <c r="L87" i="3" a="1"/>
  <c r="L95" i="3" a="1"/>
  <c r="L19" i="3" a="1"/>
  <c r="L35" i="3" a="1"/>
  <c r="L8" i="3" a="1"/>
  <c r="L16" i="3" a="1"/>
  <c r="L24" i="3" a="1"/>
  <c r="L32" i="3" a="1"/>
  <c r="L40" i="3" a="1"/>
  <c r="L48" i="3" a="1"/>
  <c r="L56" i="3" a="1"/>
  <c r="L64" i="3" a="1"/>
  <c r="L72" i="3" a="1"/>
  <c r="L80" i="3" a="1"/>
  <c r="L88" i="3" a="1"/>
  <c r="L96" i="3" a="1"/>
  <c r="L43" i="3" a="1"/>
  <c r="L83" i="3" a="1"/>
  <c r="L9" i="3" a="1"/>
  <c r="L17" i="3" a="1"/>
  <c r="L25" i="3" a="1"/>
  <c r="L33" i="3" a="1"/>
  <c r="L41" i="3" a="1"/>
  <c r="L49" i="3" a="1"/>
  <c r="L57" i="3" a="1"/>
  <c r="L65" i="3" a="1"/>
  <c r="L73" i="3" a="1"/>
  <c r="L81" i="3" a="1"/>
  <c r="L89" i="3" a="1"/>
  <c r="L97" i="3" a="1"/>
  <c r="L91" i="3" a="1"/>
  <c r="L59" i="3" a="1"/>
  <c r="L10" i="3" a="1"/>
  <c r="L18" i="3" a="1"/>
  <c r="L26" i="3" a="1"/>
  <c r="L34" i="3" a="1"/>
  <c r="L42" i="3" a="1"/>
  <c r="L50" i="3" a="1"/>
  <c r="L58" i="3" a="1"/>
  <c r="L66" i="3" a="1"/>
  <c r="L74" i="3" a="1"/>
  <c r="L82" i="3" a="1"/>
  <c r="L90" i="3" a="1"/>
  <c r="L98" i="3" a="1"/>
  <c r="L67" i="3" a="1"/>
  <c r="L3" i="3" a="1"/>
  <c r="AB77" i="3" l="1"/>
  <c r="AB96" i="3"/>
  <c r="AC86" i="3"/>
  <c r="AB80" i="3"/>
  <c r="AC70" i="3"/>
  <c r="AB64" i="3"/>
  <c r="AC54" i="3"/>
  <c r="AB48" i="3"/>
  <c r="AC38" i="3"/>
  <c r="AB32" i="3"/>
  <c r="AC22" i="3"/>
  <c r="AB16" i="3"/>
  <c r="AC6" i="3"/>
  <c r="AB58" i="3"/>
  <c r="AC16" i="3"/>
  <c r="AB99" i="3"/>
  <c r="AC89" i="3"/>
  <c r="AB83" i="3"/>
  <c r="AC73" i="3"/>
  <c r="AB67" i="3"/>
  <c r="AC57" i="3"/>
  <c r="AB51" i="3"/>
  <c r="AC41" i="3"/>
  <c r="AB35" i="3"/>
  <c r="AC25" i="3"/>
  <c r="AB19" i="3"/>
  <c r="AC9" i="3"/>
  <c r="AC80" i="3"/>
  <c r="AC32" i="3"/>
  <c r="AC99" i="3"/>
  <c r="AC92" i="3"/>
  <c r="AB86" i="3"/>
  <c r="AC76" i="3"/>
  <c r="AB70" i="3"/>
  <c r="AC60" i="3"/>
  <c r="AB54" i="3"/>
  <c r="AC44" i="3"/>
  <c r="AB38" i="3"/>
  <c r="AC28" i="3"/>
  <c r="AB22" i="3"/>
  <c r="AC12" i="3"/>
  <c r="AB6" i="3"/>
  <c r="AB10" i="3"/>
  <c r="AB61" i="3"/>
  <c r="AC95" i="3"/>
  <c r="AB89" i="3"/>
  <c r="AC79" i="3"/>
  <c r="AB73" i="3"/>
  <c r="AC63" i="3"/>
  <c r="AB57" i="3"/>
  <c r="AC47" i="3"/>
  <c r="AB41" i="3"/>
  <c r="AC31" i="3"/>
  <c r="AB25" i="3"/>
  <c r="AC15" i="3"/>
  <c r="AB9" i="3"/>
  <c r="AC64" i="3"/>
  <c r="AB42" i="3"/>
  <c r="AB93" i="3"/>
  <c r="AB13" i="3"/>
  <c r="AC98" i="3"/>
  <c r="AB92" i="3"/>
  <c r="AC82" i="3"/>
  <c r="AB76" i="3"/>
  <c r="AC66" i="3"/>
  <c r="AB60" i="3"/>
  <c r="AC50" i="3"/>
  <c r="AB44" i="3"/>
  <c r="AC34" i="3"/>
  <c r="AB28" i="3"/>
  <c r="AC18" i="3"/>
  <c r="AB12" i="3"/>
  <c r="AB74" i="3"/>
  <c r="AB95" i="3"/>
  <c r="AC85" i="3"/>
  <c r="AB79" i="3"/>
  <c r="AC69" i="3"/>
  <c r="AB63" i="3"/>
  <c r="AC53" i="3"/>
  <c r="AB47" i="3"/>
  <c r="AC37" i="3"/>
  <c r="AB31" i="3"/>
  <c r="AC21" i="3"/>
  <c r="AB15" i="3"/>
  <c r="AC5" i="3"/>
  <c r="AB90" i="3"/>
  <c r="AB98" i="3"/>
  <c r="AC88" i="3"/>
  <c r="AB82" i="3"/>
  <c r="AC72" i="3"/>
  <c r="AB66" i="3"/>
  <c r="AC56" i="3"/>
  <c r="AB50" i="3"/>
  <c r="AC40" i="3"/>
  <c r="AB34" i="3"/>
  <c r="AC24" i="3"/>
  <c r="AB18" i="3"/>
  <c r="AC8" i="3"/>
  <c r="AC48" i="3"/>
  <c r="AC19" i="3"/>
  <c r="AC91" i="3"/>
  <c r="AB85" i="3"/>
  <c r="AC75" i="3"/>
  <c r="AB69" i="3"/>
  <c r="AC59" i="3"/>
  <c r="AB53" i="3"/>
  <c r="AC43" i="3"/>
  <c r="AB37" i="3"/>
  <c r="AC27" i="3"/>
  <c r="AB21" i="3"/>
  <c r="AC11" i="3"/>
  <c r="AB5" i="3"/>
  <c r="AB29" i="3"/>
  <c r="AC94" i="3"/>
  <c r="AB88" i="3"/>
  <c r="AC78" i="3"/>
  <c r="AB72" i="3"/>
  <c r="AC62" i="3"/>
  <c r="AB56" i="3"/>
  <c r="AC46" i="3"/>
  <c r="AB40" i="3"/>
  <c r="AC30" i="3"/>
  <c r="AB24" i="3"/>
  <c r="AC14" i="3"/>
  <c r="AB8" i="3"/>
  <c r="AC83" i="3"/>
  <c r="AC97" i="3"/>
  <c r="AB91" i="3"/>
  <c r="AC81" i="3"/>
  <c r="AB75" i="3"/>
  <c r="AC65" i="3"/>
  <c r="AB59" i="3"/>
  <c r="AC49" i="3"/>
  <c r="AB43" i="3"/>
  <c r="AC33" i="3"/>
  <c r="AB27" i="3"/>
  <c r="AC17" i="3"/>
  <c r="AB11" i="3"/>
  <c r="AC96" i="3"/>
  <c r="AC35" i="3"/>
  <c r="AC100" i="3"/>
  <c r="AB94" i="3"/>
  <c r="AC84" i="3"/>
  <c r="AB78" i="3"/>
  <c r="AC68" i="3"/>
  <c r="AB62" i="3"/>
  <c r="AC52" i="3"/>
  <c r="AB46" i="3"/>
  <c r="AC36" i="3"/>
  <c r="AB30" i="3"/>
  <c r="AC20" i="3"/>
  <c r="AB14" i="3"/>
  <c r="AC4" i="3"/>
  <c r="AB45" i="3"/>
  <c r="AB97" i="3"/>
  <c r="AC87" i="3"/>
  <c r="AB81" i="3"/>
  <c r="AC71" i="3"/>
  <c r="AB65" i="3"/>
  <c r="AC55" i="3"/>
  <c r="AB49" i="3"/>
  <c r="AC39" i="3"/>
  <c r="AB33" i="3"/>
  <c r="AC23" i="3"/>
  <c r="AB17" i="3"/>
  <c r="AC7" i="3"/>
  <c r="AC67" i="3"/>
  <c r="AB100" i="3"/>
  <c r="AC90" i="3"/>
  <c r="AB84" i="3"/>
  <c r="AC74" i="3"/>
  <c r="AB68" i="3"/>
  <c r="AC58" i="3"/>
  <c r="AB52" i="3"/>
  <c r="AC42" i="3"/>
  <c r="AB36" i="3"/>
  <c r="AC26" i="3"/>
  <c r="AB20" i="3"/>
  <c r="AC10" i="3"/>
  <c r="AB4" i="3"/>
  <c r="AB26" i="3"/>
  <c r="AC51" i="3"/>
  <c r="AC93" i="3"/>
  <c r="AB87" i="3"/>
  <c r="AC77" i="3"/>
  <c r="AB71" i="3"/>
  <c r="AC61" i="3"/>
  <c r="AB55" i="3"/>
  <c r="AC45" i="3"/>
  <c r="AB39" i="3"/>
  <c r="AC29" i="3"/>
  <c r="AB23" i="3"/>
  <c r="AC13" i="3"/>
  <c r="AB7" i="3"/>
  <c r="AC3" i="3"/>
  <c r="AB3" i="3"/>
  <c r="K59" i="3"/>
  <c r="K91" i="3"/>
  <c r="K98" i="3"/>
  <c r="K90" i="3"/>
  <c r="K82" i="3"/>
  <c r="K74" i="3"/>
  <c r="K66" i="3"/>
  <c r="K58" i="3"/>
  <c r="K50" i="3"/>
  <c r="K42" i="3"/>
  <c r="K34" i="3"/>
  <c r="K26" i="3"/>
  <c r="K18" i="3"/>
  <c r="K10" i="3"/>
  <c r="K83" i="3"/>
  <c r="K97" i="3"/>
  <c r="K89" i="3"/>
  <c r="K81" i="3"/>
  <c r="K73" i="3"/>
  <c r="K65" i="3"/>
  <c r="K57" i="3"/>
  <c r="K49" i="3"/>
  <c r="K41" i="3"/>
  <c r="K33" i="3"/>
  <c r="K25" i="3"/>
  <c r="K17" i="3"/>
  <c r="K9" i="3"/>
  <c r="K27" i="3"/>
  <c r="K43" i="3"/>
  <c r="K96" i="3"/>
  <c r="K88" i="3"/>
  <c r="K80" i="3"/>
  <c r="K72" i="3"/>
  <c r="K64" i="3"/>
  <c r="K56" i="3"/>
  <c r="K48" i="3"/>
  <c r="K40" i="3"/>
  <c r="K32" i="3"/>
  <c r="K24" i="3"/>
  <c r="K16" i="3"/>
  <c r="K8" i="3"/>
  <c r="K75" i="3"/>
  <c r="K95" i="3"/>
  <c r="K87" i="3"/>
  <c r="K79" i="3"/>
  <c r="K71" i="3"/>
  <c r="K63" i="3"/>
  <c r="K55" i="3"/>
  <c r="K47" i="3"/>
  <c r="K39" i="3"/>
  <c r="K31" i="3"/>
  <c r="K23" i="3"/>
  <c r="K15" i="3"/>
  <c r="K7" i="3"/>
  <c r="K19" i="3"/>
  <c r="K67" i="3"/>
  <c r="K94" i="3"/>
  <c r="K86" i="3"/>
  <c r="K78" i="3"/>
  <c r="K70" i="3"/>
  <c r="K62" i="3"/>
  <c r="K54" i="3"/>
  <c r="K46" i="3"/>
  <c r="K38" i="3"/>
  <c r="K30" i="3"/>
  <c r="K22" i="3"/>
  <c r="K14" i="3"/>
  <c r="K6" i="3"/>
  <c r="K99" i="3"/>
  <c r="K11" i="3"/>
  <c r="K93" i="3"/>
  <c r="K85" i="3"/>
  <c r="K77" i="3"/>
  <c r="K69" i="3"/>
  <c r="K61" i="3"/>
  <c r="K53" i="3"/>
  <c r="K45" i="3"/>
  <c r="K37" i="3"/>
  <c r="K29" i="3"/>
  <c r="K21" i="3"/>
  <c r="K13" i="3"/>
  <c r="K5" i="3"/>
  <c r="K35" i="3"/>
  <c r="K51" i="3"/>
  <c r="K100" i="3"/>
  <c r="K92" i="3"/>
  <c r="K84" i="3"/>
  <c r="K76" i="3"/>
  <c r="K68" i="3"/>
  <c r="K60" i="3"/>
  <c r="K52" i="3"/>
  <c r="K44" i="3"/>
  <c r="K36" i="3"/>
  <c r="K28" i="3"/>
  <c r="K20" i="3"/>
  <c r="K12" i="3"/>
  <c r="K4" i="3"/>
  <c r="K3" i="3"/>
  <c r="L67" i="3"/>
  <c r="L98" i="3"/>
  <c r="L90" i="3"/>
  <c r="L82" i="3"/>
  <c r="L74" i="3"/>
  <c r="L66" i="3"/>
  <c r="L58" i="3"/>
  <c r="L50" i="3"/>
  <c r="L42" i="3"/>
  <c r="L34" i="3"/>
  <c r="L26" i="3"/>
  <c r="L18" i="3"/>
  <c r="L10" i="3"/>
  <c r="L59" i="3"/>
  <c r="L91" i="3"/>
  <c r="L97" i="3"/>
  <c r="L89" i="3"/>
  <c r="L81" i="3"/>
  <c r="L73" i="3"/>
  <c r="L65" i="3"/>
  <c r="L57" i="3"/>
  <c r="L49" i="3"/>
  <c r="L41" i="3"/>
  <c r="L33" i="3"/>
  <c r="L25" i="3"/>
  <c r="L17" i="3"/>
  <c r="L9" i="3"/>
  <c r="L83" i="3"/>
  <c r="L43" i="3"/>
  <c r="L96" i="3"/>
  <c r="L88" i="3"/>
  <c r="L80" i="3"/>
  <c r="L72" i="3"/>
  <c r="L64" i="3"/>
  <c r="L56" i="3"/>
  <c r="L48" i="3"/>
  <c r="L40" i="3"/>
  <c r="L32" i="3"/>
  <c r="L24" i="3"/>
  <c r="L16" i="3"/>
  <c r="L8" i="3"/>
  <c r="L35" i="3"/>
  <c r="L19" i="3"/>
  <c r="L95" i="3"/>
  <c r="L87" i="3"/>
  <c r="L79" i="3"/>
  <c r="L71" i="3"/>
  <c r="L63" i="3"/>
  <c r="L55" i="3"/>
  <c r="L47" i="3"/>
  <c r="L39" i="3"/>
  <c r="L31" i="3"/>
  <c r="L23" i="3"/>
  <c r="L15" i="3"/>
  <c r="L7" i="3"/>
  <c r="L27" i="3"/>
  <c r="L94" i="3"/>
  <c r="L86" i="3"/>
  <c r="L78" i="3"/>
  <c r="L70" i="3"/>
  <c r="L62" i="3"/>
  <c r="L54" i="3"/>
  <c r="L46" i="3"/>
  <c r="L38" i="3"/>
  <c r="L30" i="3"/>
  <c r="L22" i="3"/>
  <c r="L14" i="3"/>
  <c r="L6" i="3"/>
  <c r="L11" i="3"/>
  <c r="L99" i="3"/>
  <c r="L93" i="3"/>
  <c r="L85" i="3"/>
  <c r="L77" i="3"/>
  <c r="L69" i="3"/>
  <c r="L61" i="3"/>
  <c r="L53" i="3"/>
  <c r="L45" i="3"/>
  <c r="L37" i="3"/>
  <c r="L29" i="3"/>
  <c r="L21" i="3"/>
  <c r="L13" i="3"/>
  <c r="L5" i="3"/>
  <c r="L75" i="3"/>
  <c r="L51" i="3"/>
  <c r="L100" i="3"/>
  <c r="L92" i="3"/>
  <c r="L84" i="3"/>
  <c r="L76" i="3"/>
  <c r="L68" i="3"/>
  <c r="L60" i="3"/>
  <c r="L52" i="3"/>
  <c r="L44" i="3"/>
  <c r="L36" i="3"/>
  <c r="L28" i="3"/>
  <c r="L20" i="3"/>
  <c r="L12" i="3"/>
  <c r="L4" i="3"/>
  <c r="L3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<sst xmlns="http://schemas.openxmlformats.org/spreadsheetml/2006/main" count="291" uniqueCount="176">
  <si>
    <t>●当ツールは、IBECs 一般社団法人 住宅･建築 SDGs 推進センター提供の「J-CAT算定ソフト」が必要です。</t>
  </si>
  <si>
    <t>J-CAT算定ソフトは以下リンクよりダウンロードしてください。</t>
  </si>
  <si>
    <t>対応バージョンは【1_J-CAT_Software_Simplified Calculation_v2.1.xlsx】</t>
  </si>
  <si>
    <t>https://www.ibecs.or.jp/zero-carbon_building/jcat/licenseterms.html</t>
  </si>
  <si>
    <t>●免責事項</t>
  </si>
  <si>
    <t>以下のボタンをクリックし、ダウンロードしたJ-CAT算定ソフトを読み込むと、値が入力されたJ-CAT算定ソフトが出力されます。</t>
  </si>
  <si>
    <t>title</t>
  </si>
  <si>
    <t>header</t>
  </si>
  <si>
    <t>text</t>
  </si>
  <si>
    <t>value</t>
  </si>
  <si>
    <t>sheet</t>
  </si>
  <si>
    <t>cell</t>
  </si>
  <si>
    <t>main_structure</t>
  </si>
  <si>
    <t>物件情報</t>
  </si>
  <si>
    <t>主要構造</t>
  </si>
  <si>
    <t>pile_type</t>
  </si>
  <si>
    <t>杭地業</t>
  </si>
  <si>
    <t>杭種</t>
  </si>
  <si>
    <t>現場打杭</t>
  </si>
  <si>
    <t>purchased_soil</t>
  </si>
  <si>
    <t>土工・地業</t>
  </si>
  <si>
    <t>購入土</t>
  </si>
  <si>
    <t>sand</t>
  </si>
  <si>
    <t>砂</t>
  </si>
  <si>
    <t>gravel</t>
  </si>
  <si>
    <t>砂利</t>
  </si>
  <si>
    <t>crushed_stone</t>
  </si>
  <si>
    <t>砕石</t>
  </si>
  <si>
    <t>solidfying</t>
  </si>
  <si>
    <t>地盤改良材</t>
  </si>
  <si>
    <t>固化材</t>
  </si>
  <si>
    <t>rebar</t>
  </si>
  <si>
    <t>鉄筋・鉄骨・その他</t>
  </si>
  <si>
    <t>鉄筋</t>
  </si>
  <si>
    <t>formwork</t>
  </si>
  <si>
    <t>型枠</t>
  </si>
  <si>
    <t>steel_frame</t>
  </si>
  <si>
    <t>鉄骨</t>
  </si>
  <si>
    <t>deck_plate</t>
  </si>
  <si>
    <t>デッキプレート</t>
  </si>
  <si>
    <t>affiliation</t>
  </si>
  <si>
    <t>所属</t>
  </si>
  <si>
    <t>lastname</t>
  </si>
  <si>
    <t>姓</t>
  </si>
  <si>
    <t>firstname</t>
  </si>
  <si>
    <t>企業情報</t>
  </si>
  <si>
    <t>名</t>
  </si>
  <si>
    <t>department</t>
  </si>
  <si>
    <t>部署</t>
  </si>
  <si>
    <t>phonenumber</t>
  </si>
  <si>
    <t>電話番号</t>
  </si>
  <si>
    <t>email_address</t>
  </si>
  <si>
    <t>連絡先</t>
  </si>
  <si>
    <t>メールアドレス</t>
  </si>
  <si>
    <t>creation_date</t>
  </si>
  <si>
    <t>情報</t>
  </si>
  <si>
    <t>作成日</t>
  </si>
  <si>
    <t>update_date</t>
  </si>
  <si>
    <t>更新日</t>
  </si>
  <si>
    <t>用途別面積</t>
  </si>
  <si>
    <t>既製杭</t>
  </si>
  <si>
    <t>現場打コンクリート</t>
  </si>
  <si>
    <t>建物用途</t>
  </si>
  <si>
    <t>床面積</t>
  </si>
  <si>
    <t>セメント種別</t>
  </si>
  <si>
    <t>設計基準強度</t>
  </si>
  <si>
    <t>コンクリート数量</t>
  </si>
  <si>
    <t>記号</t>
  </si>
  <si>
    <t>φ</t>
  </si>
  <si>
    <t>L</t>
  </si>
  <si>
    <t>t</t>
  </si>
  <si>
    <t>員数</t>
  </si>
  <si>
    <t>数量</t>
  </si>
  <si>
    <t>事務所</t>
  </si>
  <si>
    <t>ホテル・旅館</t>
  </si>
  <si>
    <t>病院・診療所</t>
  </si>
  <si>
    <t>■用途別面積</t>
  </si>
  <si>
    <t>用途</t>
  </si>
  <si>
    <t>入力シート (A1～5,B2～5,C1～4)_GHG</t>
  </si>
  <si>
    <t>T6</t>
  </si>
  <si>
    <t>T8</t>
  </si>
  <si>
    <t>T10</t>
  </si>
  <si>
    <t>物販店舗</t>
  </si>
  <si>
    <t>T12</t>
  </si>
  <si>
    <t>学校（小中高）</t>
  </si>
  <si>
    <t>T14</t>
  </si>
  <si>
    <t>学校（大学高専）</t>
  </si>
  <si>
    <t>W6</t>
  </si>
  <si>
    <t>飲食店</t>
  </si>
  <si>
    <t>W8</t>
  </si>
  <si>
    <t>集会施設</t>
  </si>
  <si>
    <t>W10</t>
  </si>
  <si>
    <t>独身寮</t>
  </si>
  <si>
    <t>W12</t>
  </si>
  <si>
    <t>流通施設</t>
  </si>
  <si>
    <t>W14</t>
  </si>
  <si>
    <t>工場</t>
  </si>
  <si>
    <t>Y6</t>
  </si>
  <si>
    <t>集合住宅</t>
  </si>
  <si>
    <t>Y8</t>
  </si>
  <si>
    <t>共用部</t>
  </si>
  <si>
    <t>Y10</t>
  </si>
  <si>
    <t>駐車場</t>
  </si>
  <si>
    <t>Y12</t>
  </si>
  <si>
    <t>設計基準強度</t>
    <rPh sb="0" eb="6">
      <t>セッケイキジュンキョウド</t>
    </rPh>
    <phoneticPr fontId="1"/>
  </si>
  <si>
    <t>sheet</t>
    <phoneticPr fontId="1"/>
  </si>
  <si>
    <t>cell</t>
    <phoneticPr fontId="1"/>
  </si>
  <si>
    <t>入力シート (A1～5,B2～5,C1～4)_GHG</t>
    <phoneticPr fontId="1"/>
  </si>
  <si>
    <t>I18</t>
    <phoneticPr fontId="1"/>
  </si>
  <si>
    <t>I19</t>
    <phoneticPr fontId="1"/>
  </si>
  <si>
    <t>I20</t>
    <phoneticPr fontId="1"/>
  </si>
  <si>
    <t>I21</t>
    <phoneticPr fontId="1"/>
  </si>
  <si>
    <t>■現場打杭_ポルトランドセメント</t>
    <rPh sb="1" eb="4">
      <t>ゲンバウチ</t>
    </rPh>
    <rPh sb="4" eb="5">
      <t>クイ</t>
    </rPh>
    <phoneticPr fontId="1"/>
  </si>
  <si>
    <t>I22</t>
    <phoneticPr fontId="1"/>
  </si>
  <si>
    <t>I25</t>
    <phoneticPr fontId="1"/>
  </si>
  <si>
    <t>I24</t>
    <phoneticPr fontId="1"/>
  </si>
  <si>
    <t>I23</t>
    <phoneticPr fontId="1"/>
  </si>
  <si>
    <t>■現場打杭_高炉セメントB種</t>
    <rPh sb="1" eb="3">
      <t>ゲンバ</t>
    </rPh>
    <rPh sb="3" eb="4">
      <t>ウ</t>
    </rPh>
    <rPh sb="4" eb="5">
      <t>クイ</t>
    </rPh>
    <rPh sb="6" eb="8">
      <t>コウロ</t>
    </rPh>
    <rPh sb="13" eb="14">
      <t>シュ</t>
    </rPh>
    <phoneticPr fontId="1"/>
  </si>
  <si>
    <t>■既製杭</t>
    <rPh sb="1" eb="3">
      <t>キセイ</t>
    </rPh>
    <rPh sb="3" eb="4">
      <t>クイ</t>
    </rPh>
    <phoneticPr fontId="1"/>
  </si>
  <si>
    <t>杭種</t>
    <rPh sb="0" eb="1">
      <t>クイ</t>
    </rPh>
    <rPh sb="1" eb="2">
      <t>シュ</t>
    </rPh>
    <phoneticPr fontId="1"/>
  </si>
  <si>
    <t>PC杭</t>
    <rPh sb="2" eb="3">
      <t>クイ</t>
    </rPh>
    <phoneticPr fontId="1"/>
  </si>
  <si>
    <t>PHC杭</t>
    <rPh sb="3" eb="4">
      <t>クイ</t>
    </rPh>
    <phoneticPr fontId="1"/>
  </si>
  <si>
    <t>SC杭</t>
    <rPh sb="2" eb="3">
      <t>クイ</t>
    </rPh>
    <phoneticPr fontId="1"/>
  </si>
  <si>
    <t>CPRC杭</t>
    <rPh sb="4" eb="5">
      <t>クイ</t>
    </rPh>
    <phoneticPr fontId="1"/>
  </si>
  <si>
    <t>I30</t>
    <phoneticPr fontId="1"/>
  </si>
  <si>
    <t>I31</t>
    <phoneticPr fontId="1"/>
  </si>
  <si>
    <t>I33</t>
    <phoneticPr fontId="1"/>
  </si>
  <si>
    <t>I34</t>
    <phoneticPr fontId="1"/>
  </si>
  <si>
    <t>■現場打コンクリート_ポルトランドセメント</t>
    <rPh sb="1" eb="3">
      <t>ゲンバ</t>
    </rPh>
    <rPh sb="3" eb="4">
      <t>ウ</t>
    </rPh>
    <phoneticPr fontId="1"/>
  </si>
  <si>
    <t>I65</t>
    <phoneticPr fontId="1"/>
  </si>
  <si>
    <t>I66</t>
    <phoneticPr fontId="1"/>
  </si>
  <si>
    <t>I67</t>
  </si>
  <si>
    <t>I68</t>
  </si>
  <si>
    <t>I69</t>
  </si>
  <si>
    <t>I70</t>
  </si>
  <si>
    <t>I71</t>
  </si>
  <si>
    <t>I72</t>
  </si>
  <si>
    <t>I73</t>
  </si>
  <si>
    <t>I74</t>
  </si>
  <si>
    <t>I75</t>
  </si>
  <si>
    <t>I76</t>
  </si>
  <si>
    <t>I77</t>
  </si>
  <si>
    <t>■現場打コンクリート_高炉セメントB種</t>
    <rPh sb="1" eb="3">
      <t>ゲンバ</t>
    </rPh>
    <rPh sb="3" eb="4">
      <t>ウ</t>
    </rPh>
    <rPh sb="11" eb="13">
      <t>コウロ</t>
    </rPh>
    <rPh sb="18" eb="19">
      <t>シュ</t>
    </rPh>
    <phoneticPr fontId="1"/>
  </si>
  <si>
    <t>I78</t>
    <phoneticPr fontId="1"/>
  </si>
  <si>
    <t>I79</t>
    <phoneticPr fontId="1"/>
  </si>
  <si>
    <t>I80</t>
  </si>
  <si>
    <t>I81</t>
  </si>
  <si>
    <t>I82</t>
  </si>
  <si>
    <t>I83</t>
  </si>
  <si>
    <t>I84</t>
  </si>
  <si>
    <t>I85</t>
  </si>
  <si>
    <t>I86</t>
  </si>
  <si>
    <t>I119</t>
    <phoneticPr fontId="1"/>
  </si>
  <si>
    <t>I120</t>
    <phoneticPr fontId="1"/>
  </si>
  <si>
    <t>I121</t>
  </si>
  <si>
    <t>I122</t>
  </si>
  <si>
    <t>I123</t>
  </si>
  <si>
    <t>I124</t>
  </si>
  <si>
    <t>I125</t>
  </si>
  <si>
    <t>I126</t>
  </si>
  <si>
    <t>I127</t>
  </si>
  <si>
    <t>I128</t>
  </si>
  <si>
    <t>I129</t>
  </si>
  <si>
    <t>■PCaコンクリート_鉄筋無し</t>
    <phoneticPr fontId="1"/>
  </si>
  <si>
    <t>PCaコンクリート_鉄筋無し</t>
    <phoneticPr fontId="1"/>
  </si>
  <si>
    <t>F12</t>
    <phoneticPr fontId="1"/>
  </si>
  <si>
    <t>J14</t>
    <phoneticPr fontId="1"/>
  </si>
  <si>
    <t>I35</t>
    <phoneticPr fontId="1"/>
  </si>
  <si>
    <t>I36</t>
    <phoneticPr fontId="1"/>
  </si>
  <si>
    <t>I37</t>
    <phoneticPr fontId="1"/>
  </si>
  <si>
    <t>I38</t>
    <phoneticPr fontId="1"/>
  </si>
  <si>
    <t>I39</t>
    <phoneticPr fontId="1"/>
  </si>
  <si>
    <t>I58</t>
    <phoneticPr fontId="1"/>
  </si>
  <si>
    <t>I185</t>
    <phoneticPr fontId="1"/>
  </si>
  <si>
    <t>I182</t>
    <phoneticPr fontId="1"/>
  </si>
  <si>
    <t>I135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</si>
</sst>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2">
    <xf numFmtId="0" fontId="0" fillId="0" borderId="0" xfId="0">
      <alignment vertical="center"/>
    </xf>
    <xf numFmtId="0" fontId="2" fillId="0" borderId="0" xfId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0" fillId="0" borderId="0" xfId="0" applyAlignment="1"/>
    <xf numFmtId="0" fontId="0" fillId="3" borderId="0" xfId="0" applyFill="1" applyAlignment="1"/>
    <xf numFmtId="0" fontId="0" fillId="2" borderId="0" xfId="0" applyFill="1" applyAlignment="1"/>
    <xf numFmtId="0" fontId="0" fillId="4" borderId="0" xfId="0" applyFill="1">
      <alignment vertical="center"/>
    </xf>
    <xf numFmtId="0" fontId="0" fillId="0" borderId="0" xfId="0" applyFill="1" applyBorder="1">
      <alignment vertical="center"/>
    </xf>
    <xf numFmtId="0" fontId="0" fillId="0" borderId="0" xfId="0" applyFill="1" applyBorder="1" applyAlignment="1"/>
    <xf numFmtId="0" fontId="0" fillId="2" borderId="0" xfId="0" applyFill="1" applyBorder="1">
      <alignment vertical="center"/>
    </xf>
    <xf numFmtId="0" fontId="0" fillId="2" borderId="0" xfId="0" applyFill="1" applyBorder="1" applyAlignment="1"/>
  </cellXfs>
  <cellStyles count="2">
    <cellStyle name="ハイパーリンク" xfId="1" builtinId="8"/>
    <cellStyle name="標準" xfId="0" builtinId="0"/>
  </cellStyles>
  <dxfs count="51"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>
          <bgColor theme="5" tint="0.79998168889431442"/>
        </patternFill>
      </fill>
    </dxf>
    <dxf>
      <border diagonalUp="1" diagonalDown="1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 style="hair">
          <color auto="1"/>
        </diagonal>
        <vertical style="hair">
          <color auto="1"/>
        </vertical>
        <horizontal style="thin">
          <color auto="1"/>
        </horizontal>
      </border>
    </dxf>
  </dxfs>
  <tableStyles count="1" defaultTableStyle="original" defaultPivotStyle="PivotStyleLight16">
    <tableStyle name="original" pivot="0" count="2" xr9:uid="{00000000-0011-0000-FFFF-FFFF00000000}">
      <tableStyleElement type="wholeTable" dxfId="50"/>
      <tableStyleElement type="headerRow" dxfId="4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77670C3D-77D6-9860-6BC2-613E78D798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読み込み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2543697-3184-4284-B1A9-779294162BCF}" name="単一入力" displayName="単一入力" ref="A1:F20" totalsRowShown="0" headerRowDxfId="4" dataDxfId="5">
  <autoFilter ref="A1:F20" xr:uid="{02543697-3184-4284-B1A9-779294162BCF}"/>
  <tableColumns count="6">
    <tableColumn id="1" xr3:uid="{AB0F0E17-32B8-459E-B6E0-920DC046A273}" name="title" dataDxfId="7"/>
    <tableColumn id="2" xr3:uid="{1D4F13A7-1AF4-478C-86E1-955A23BDA57C}" name="header" dataDxfId="6"/>
    <tableColumn id="3" xr3:uid="{B1E880C8-AD05-4D41-9871-0AFA445B6A2E}" name="text" dataDxfId="3"/>
    <tableColumn id="4" xr3:uid="{F774B4B8-4619-441F-A645-8BB75C695612}" name="value" dataDxfId="2"/>
    <tableColumn id="5" xr3:uid="{C310B5AB-29F6-4172-B235-F6D898214C3F}" name="sheet" dataDxfId="1"/>
    <tableColumn id="6" xr3:uid="{E52D4063-DC50-4715-BA8F-F9DCF18D008A}" name="cell" dataDxfId="0"/>
  </tableColumns>
  <tableStyleInfo name="original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用途別面積" displayName="用途別面積" ref="A2:E100" totalsRowShown="0" headerRowDxfId="48" dataDxfId="47">
  <autoFilter ref="A2:E100" xr:uid="{00000000-0009-0000-0100-000001000000}"/>
  <tableColumns count="5">
    <tableColumn id="1" xr3:uid="{00000000-0010-0000-0000-000001000000}" name="建物用途" dataDxfId="46"/>
    <tableColumn id="2" xr3:uid="{00000000-0010-0000-0000-000002000000}" name="床面積" dataDxfId="45"/>
    <tableColumn id="5" xr3:uid="{00000000-0010-0000-0000-000005000000}" name="value" dataDxfId="44">
      <calculatedColumnFormula>用途別面積[[#This Row],[床面積]]</calculatedColumnFormula>
    </tableColumn>
    <tableColumn id="3" xr3:uid="{00000000-0010-0000-0000-000003000000}" name="sheet" dataDxfId="43">
      <calculatedColumnFormula>IFERROR(VLOOKUP(用途別面積[[#This Row],[建物用途]],用途別面積_map[#All],2,FALSE),"")</calculatedColumnFormula>
    </tableColumn>
    <tableColumn id="4" xr3:uid="{00000000-0010-0000-0000-000004000000}" name="cell" dataDxfId="42">
      <calculatedColumnFormula>IFERROR(VLOOKUP(用途別面積[[#This Row],[建物用途]],用途別面積_map[#All],3,FALSE),"")</calculatedColumnFormula>
    </tableColumn>
  </tableColumns>
  <tableStyleInfo name="original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現場打杭" displayName="現場打杭" ref="G2:L100" totalsRowShown="0" headerRowDxfId="41" dataDxfId="40">
  <autoFilter ref="G2:L100" xr:uid="{00000000-0009-0000-0100-000002000000}"/>
  <tableColumns count="6">
    <tableColumn id="1" xr3:uid="{00000000-0010-0000-0100-000001000000}" name="セメント種別" dataDxfId="39"/>
    <tableColumn id="8" xr3:uid="{00000000-0010-0000-0100-000008000000}" name="設計基準強度" dataDxfId="38"/>
    <tableColumn id="2" xr3:uid="{00000000-0010-0000-0100-000002000000}" name="コンクリート数量" dataDxfId="37"/>
    <tableColumn id="7" xr3:uid="{00000000-0010-0000-0100-000007000000}" name="value" dataDxfId="36">
      <calculatedColumnFormula>現場打杭[[#This Row],[コンクリート数量]]</calculatedColumnFormula>
    </tableColumn>
    <tableColumn id="4" xr3:uid="{00000000-0010-0000-0100-000004000000}" name="sheet" dataDxfId="35">
      <calculatedColumnFormula array="1">IFERROR(INDEX(INDIRECT("現場打杭_"&amp;G3&amp;"[sheet]"),IFERROR(MATCH(H3,INDIRECT("現場打杭_"&amp;G3&amp;"[設計基準強度]"),-1),1)),"")</calculatedColumnFormula>
    </tableColumn>
    <tableColumn id="5" xr3:uid="{00000000-0010-0000-0100-000005000000}" name="cell" dataDxfId="34">
      <calculatedColumnFormula array="1">IFERROR(INDEX(INDIRECT("現場打杭_"&amp;G3&amp;"[cell]"),IFERROR(MATCH(H3,INDIRECT("現場打杭_"&amp;G3&amp;"[設計基準強度]"),-1),1)),"")</calculatedColumnFormula>
    </tableColumn>
  </tableColumns>
  <tableStyleInfo name="original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既製杭" displayName="既製杭" ref="N2:V100" totalsRowShown="0" headerRowDxfId="33" dataDxfId="32">
  <autoFilter ref="N2:V100" xr:uid="{00000000-0009-0000-0100-000003000000}"/>
  <tableColumns count="9">
    <tableColumn id="1" xr3:uid="{00000000-0010-0000-0200-000001000000}" name="記号" dataDxfId="31"/>
    <tableColumn id="2" xr3:uid="{00000000-0010-0000-0200-000002000000}" name="杭種" dataDxfId="30"/>
    <tableColumn id="3" xr3:uid="{00000000-0010-0000-0200-000003000000}" name="φ" dataDxfId="29"/>
    <tableColumn id="4" xr3:uid="{00000000-0010-0000-0200-000004000000}" name="L" dataDxfId="28"/>
    <tableColumn id="5" xr3:uid="{00000000-0010-0000-0200-000005000000}" name="t" dataDxfId="27"/>
    <tableColumn id="6" xr3:uid="{00000000-0010-0000-0200-000006000000}" name="員数" dataDxfId="26"/>
    <tableColumn id="7" xr3:uid="{00000000-0010-0000-0200-000007000000}" name="value" dataDxfId="25">
      <calculatedColumnFormula>既製杭[[#This Row],[L]]/1000*既製杭[[#This Row],[員数]]</calculatedColumnFormula>
    </tableColumn>
    <tableColumn id="8" xr3:uid="{00000000-0010-0000-0200-000008000000}" name="sheet" dataDxfId="24">
      <calculatedColumnFormula>IFERROR(INDEX(既製杭_map[sheet],MATCH(既製杭[[#This Row],[杭種]],既製杭_map[杭種],0)),"")</calculatedColumnFormula>
    </tableColumn>
    <tableColumn id="9" xr3:uid="{00000000-0010-0000-0200-000009000000}" name="cell" dataDxfId="23">
      <calculatedColumnFormula>IFERROR(INDEX(既製杭_map[cell],MATCH(既製杭[[#This Row],[杭種]],既製杭_map[杭種],0)),"")</calculatedColumnFormula>
    </tableColumn>
  </tableColumns>
  <tableStyleInfo name="original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現場打コンクリート" displayName="現場打コンクリート" ref="X2:AC100" totalsRowShown="0" headerRowDxfId="22" dataDxfId="21">
  <autoFilter ref="X2:AC100" xr:uid="{00000000-0009-0000-0100-000004000000}"/>
  <tableColumns count="6">
    <tableColumn id="1" xr3:uid="{00000000-0010-0000-0300-000001000000}" name="セメント種別" dataDxfId="20"/>
    <tableColumn id="2" xr3:uid="{00000000-0010-0000-0300-000002000000}" name="設計基準強度" dataDxfId="19"/>
    <tableColumn id="3" xr3:uid="{00000000-0010-0000-0300-000003000000}" name="数量" dataDxfId="18"/>
    <tableColumn id="4" xr3:uid="{00000000-0010-0000-0300-000004000000}" name="value" dataDxfId="17">
      <calculatedColumnFormula>現場打コンクリート[[#This Row],[数量]]</calculatedColumnFormula>
    </tableColumn>
    <tableColumn id="5" xr3:uid="{00000000-0010-0000-0300-000005000000}" name="sheet" dataDxfId="16">
      <calculatedColumnFormula array="1">IFERROR(INDEX(INDIRECT("現場打コンクリート_"&amp;X3&amp;"[sheet]"),IFERROR(MATCH(Y3,INDIRECT("現場打コンクリート_"&amp;X3&amp;"[設計基準強度]"),-1),1)),"")</calculatedColumnFormula>
    </tableColumn>
    <tableColumn id="6" xr3:uid="{00000000-0010-0000-0300-000006000000}" name="cell" dataDxfId="15">
      <calculatedColumnFormula array="1">IFERROR(INDEX(INDIRECT("現場打コンクリート_"&amp;X3&amp;"[cell]"),IFERROR(MATCH(Y3,INDIRECT("現場打コンクリート_"&amp;X3&amp;"[設計基準強度]"),-1),1)),"")</calculatedColumnFormula>
    </tableColumn>
  </tableColumns>
  <tableStyleInfo name="original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PCaコンクリート_鉄筋無し" displayName="PCaコンクリート_鉄筋無し" ref="AE2:AI100" totalsRowShown="0" headerRowDxfId="14" dataDxfId="13">
  <autoFilter ref="AE2:AI100" xr:uid="{00000000-0009-0000-0100-000005000000}"/>
  <tableColumns count="5">
    <tableColumn id="1" xr3:uid="{00000000-0010-0000-0400-000001000000}" name="設計基準強度" dataDxfId="12"/>
    <tableColumn id="2" xr3:uid="{00000000-0010-0000-0400-000002000000}" name="数量" dataDxfId="11"/>
    <tableColumn id="4" xr3:uid="{00000000-0010-0000-0400-000004000000}" name="value" dataDxfId="10">
      <calculatedColumnFormula>PCaコンクリート_鉄筋無し[[#This Row],[数量]]</calculatedColumnFormula>
    </tableColumn>
    <tableColumn id="5" xr3:uid="{00000000-0010-0000-0400-000005000000}" name="sheet" dataDxfId="9">
      <calculatedColumnFormula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calculatedColumnFormula>
    </tableColumn>
    <tableColumn id="6" xr3:uid="{00000000-0010-0000-0400-000006000000}" name="cell" dataDxfId="8">
      <calculatedColumnFormula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calculatedColumnFormula>
    </tableColumn>
  </tableColumns>
  <tableStyleInfo name="original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用途別面積_map" displayName="用途別面積_map" ref="A2:C16" totalsRowShown="0">
  <autoFilter ref="A2:C16" xr:uid="{00000000-0009-0000-0100-000006000000}"/>
  <tableColumns count="3">
    <tableColumn id="1" xr3:uid="{00000000-0010-0000-0500-000001000000}" name="用途"/>
    <tableColumn id="3" xr3:uid="{00000000-0010-0000-0500-000003000000}" name="sheet"/>
    <tableColumn id="2" xr3:uid="{00000000-0010-0000-0500-000002000000}" name="cell"/>
  </tableColumns>
  <tableStyleInfo name="original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116F66-2199-4167-9DA0-9EB4E24012A5}" name="現場打杭_ポルトランドセメント" displayName="現場打杭_ポルトランドセメント" ref="E2:G6" totalsRowShown="0">
  <autoFilter ref="E2:G6" xr:uid="{04116F66-2199-4167-9DA0-9EB4E24012A5}"/>
  <sortState xmlns:xlrd2="http://schemas.microsoft.com/office/spreadsheetml/2017/richdata2" ref="E3:G6">
    <sortCondition descending="1" ref="E2:E6"/>
  </sortState>
  <tableColumns count="3">
    <tableColumn id="1" xr3:uid="{209A43BE-CDB4-4F68-BCFC-90E37E612AE4}" name="設計基準強度"/>
    <tableColumn id="2" xr3:uid="{F234F37C-6E8F-4229-9367-A5959A46F06C}" name="sheet"/>
    <tableColumn id="3" xr3:uid="{64C84684-BE41-4A08-A92C-E8ADF4331D0F}" name="cell"/>
  </tableColumns>
  <tableStyleInfo name="original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0D44F96-4E9D-446E-9672-87476C96EFBE}" name="現場打杭_高炉セメントB種" displayName="現場打杭_高炉セメントB種" ref="I2:K6" totalsRowShown="0">
  <autoFilter ref="I2:K6" xr:uid="{B0D44F96-4E9D-446E-9672-87476C96EFBE}"/>
  <tableColumns count="3">
    <tableColumn id="1" xr3:uid="{4AAF883F-069E-4149-ADCA-4CEAD0F3D9B7}" name="設計基準強度"/>
    <tableColumn id="2" xr3:uid="{40DCA330-3478-4E2E-8E0D-8F43E126C5ED}" name="sheet"/>
    <tableColumn id="3" xr3:uid="{3A24A02C-B081-496B-8409-84EA6E4DE8D9}" name="cell"/>
  </tableColumns>
  <tableStyleInfo name="original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B8940D-4EFF-43B7-ADD3-7B5ED01D2C0D}" name="既製杭_map" displayName="既製杭_map" ref="M2:O6" totalsRowShown="0">
  <autoFilter ref="M2:O6" xr:uid="{C7B8940D-4EFF-43B7-ADD3-7B5ED01D2C0D}"/>
  <tableColumns count="3">
    <tableColumn id="1" xr3:uid="{C497D144-A711-4DEB-84A1-5C89BCD5775C}" name="杭種"/>
    <tableColumn id="2" xr3:uid="{291F5C5C-FC7B-40A2-B41E-667202055213}" name="sheet"/>
    <tableColumn id="3" xr3:uid="{DA902353-28DD-4A3E-89A4-B82F8EE94EB1}" name="cell"/>
  </tableColumns>
  <tableStyleInfo name="original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891BEB5-9997-43A7-9630-A01129CDE5CC}" name="現場打コンクリート_ポルトランドセメント" displayName="現場打コンクリート_ポルトランドセメント" ref="Q2:S15" totalsRowShown="0">
  <autoFilter ref="Q2:S15" xr:uid="{B891BEB5-9997-43A7-9630-A01129CDE5CC}"/>
  <sortState xmlns:xlrd2="http://schemas.microsoft.com/office/spreadsheetml/2017/richdata2" ref="Q3:S15">
    <sortCondition descending="1" ref="Q2:Q15"/>
  </sortState>
  <tableColumns count="3">
    <tableColumn id="1" xr3:uid="{380FB09F-5B87-4DF9-BAEC-5B9A5C548C3C}" name="設計基準強度"/>
    <tableColumn id="2" xr3:uid="{26E2E23F-E04B-444B-B75C-D0694345231A}" name="sheet"/>
    <tableColumn id="3" xr3:uid="{BADDFE04-2B90-4886-B408-DF23049918EB}" name="cell"/>
  </tableColumns>
  <tableStyleInfo name="original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7E15E70-975E-44DE-B32E-96F34E1249F6}" name="現場打コンクリート_高炉セメントB種" displayName="現場打コンクリート_高炉セメントB種" ref="U2:W11" totalsRowShown="0">
  <autoFilter ref="U2:W11" xr:uid="{37E15E70-975E-44DE-B32E-96F34E1249F6}"/>
  <tableColumns count="3">
    <tableColumn id="1" xr3:uid="{3328C4C9-3212-4CC1-BC96-705E4269B26A}" name="設計基準強度"/>
    <tableColumn id="2" xr3:uid="{1BD08FE3-9F69-4E4B-8583-7182A80A4636}" name="sheet"/>
    <tableColumn id="3" xr3:uid="{EF3F3C8C-850E-42E0-9F41-F6485BB3CD3F}" name="cell"/>
  </tableColumns>
  <tableStyleInfo name="original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D3D73F-D80C-4814-9F48-6C1712286CB3}" name="PCaコンクリート_鉄筋無し_map" displayName="PCaコンクリート_鉄筋無し_map" ref="Y2:AA13" totalsRowShown="0">
  <autoFilter ref="Y2:AA13" xr:uid="{A0D3D73F-D80C-4814-9F48-6C1712286CB3}"/>
  <tableColumns count="3">
    <tableColumn id="1" xr3:uid="{41727389-B209-4191-A018-EC5670D36BA5}" name="設計基準強度"/>
    <tableColumn id="2" xr3:uid="{75C65998-8805-4A0F-98D1-EDABA2AC1844}" name="sheet"/>
    <tableColumn id="3" xr3:uid="{9CB6AD54-3578-4E28-BBE2-99AF0FB52B8C}" name="cell"/>
  </tableColumns>
  <tableStyleInfo name="original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www.ibecs.or.jp/zero-carbon_building/jcat/licenseterms.html" TargetMode="Externa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M13"/>
  <sheetViews>
    <sheetView tabSelected="1" workbookViewId="0">
      <selection activeCell="O16" sqref="O16"/>
    </sheetView>
  </sheetViews>
  <sheetFormatPr defaultRowHeight="18.45" x14ac:dyDescent="0.65"/>
  <sheetData>
    <row r="1" spans="2:13" x14ac:dyDescent="0.65">
      <c r="B1" t="s">
        <v>0</v>
      </c>
    </row>
    <row r="2" spans="2:13" x14ac:dyDescent="0.65">
      <c r="B2" t="s">
        <v>1</v>
      </c>
    </row>
    <row r="3" spans="2:13" x14ac:dyDescent="0.65">
      <c r="B3" t="s">
        <v>2</v>
      </c>
    </row>
    <row r="4" spans="2:13" x14ac:dyDescent="0.65">
      <c r="B4" s="1" t="s">
        <v>3</v>
      </c>
    </row>
    <row r="6" spans="2:13" x14ac:dyDescent="0.65">
      <c r="B6" s="7" t="s">
        <v>4</v>
      </c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7" spans="2:13" x14ac:dyDescent="0.65"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</row>
    <row r="8" spans="2:13" x14ac:dyDescent="0.65"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</row>
    <row r="9" spans="2:13" x14ac:dyDescent="0.65"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</row>
    <row r="10" spans="2:13" x14ac:dyDescent="0.65"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</row>
    <row r="11" spans="2:13" x14ac:dyDescent="0.65"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3" spans="2:13" x14ac:dyDescent="0.65">
      <c r="B13" t="s">
        <v>5</v>
      </c>
    </row>
  </sheetData>
  <phoneticPr fontId="1"/>
  <hyperlinks>
    <hyperlink ref="B4" r:id="rId1" xr:uid="{00000000-0004-0000-0000-000000000000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JCAT_Transcription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0"/>
  <sheetViews>
    <sheetView workbookViewId="0">
      <selection activeCell="D2" sqref="D2:D20"/>
    </sheetView>
  </sheetViews>
  <sheetFormatPr defaultRowHeight="18.45" x14ac:dyDescent="0.65"/>
  <cols>
    <col min="1" max="6" width="20" style="9" customWidth="1"/>
    <col min="7" max="16384" width="9.140625" style="8"/>
  </cols>
  <sheetData>
    <row r="1" spans="1:6" x14ac:dyDescent="0.65">
      <c r="A1" s="8" t="s">
        <v>6</v>
      </c>
      <c r="B1" s="8" t="s">
        <v>7</v>
      </c>
      <c r="C1" s="8" t="s">
        <v>8</v>
      </c>
      <c r="D1" s="8" t="s">
        <v>9</v>
      </c>
      <c r="E1" s="9" t="s">
        <v>10</v>
      </c>
      <c r="F1" s="8" t="s">
        <v>11</v>
      </c>
    </row>
    <row r="2" spans="1:6" x14ac:dyDescent="0.65">
      <c r="A2" s="8" t="s">
        <v>12</v>
      </c>
      <c r="B2" s="8" t="s">
        <v>13</v>
      </c>
      <c r="C2" s="8" t="s">
        <v>14</v>
      </c>
      <c r="D2" s="10"/>
      <c r="E2" s="11" t="s">
        <v>107</v>
      </c>
      <c r="F2" s="10" t="s">
        <v>165</v>
      </c>
    </row>
    <row r="3" spans="1:6" x14ac:dyDescent="0.65">
      <c r="A3" s="8" t="s">
        <v>15</v>
      </c>
      <c r="B3" s="8" t="s">
        <v>16</v>
      </c>
      <c r="C3" s="8" t="s">
        <v>17</v>
      </c>
      <c r="D3" s="10"/>
      <c r="E3" s="11" t="s">
        <v>107</v>
      </c>
      <c r="F3" s="10" t="s">
        <v>166</v>
      </c>
    </row>
    <row r="4" spans="1:6" x14ac:dyDescent="0.65">
      <c r="A4" s="8" t="s">
        <v>19</v>
      </c>
      <c r="B4" s="8" t="s">
        <v>20</v>
      </c>
      <c r="C4" s="8" t="s">
        <v>21</v>
      </c>
      <c r="D4" s="10"/>
      <c r="E4" s="11" t="s">
        <v>107</v>
      </c>
      <c r="F4" s="10" t="s">
        <v>167</v>
      </c>
    </row>
    <row r="5" spans="1:6" x14ac:dyDescent="0.65">
      <c r="A5" s="8" t="s">
        <v>22</v>
      </c>
      <c r="B5" s="8" t="s">
        <v>20</v>
      </c>
      <c r="C5" s="8" t="s">
        <v>23</v>
      </c>
      <c r="D5" s="10"/>
      <c r="E5" s="11" t="s">
        <v>107</v>
      </c>
      <c r="F5" s="10" t="s">
        <v>168</v>
      </c>
    </row>
    <row r="6" spans="1:6" x14ac:dyDescent="0.65">
      <c r="A6" s="8" t="s">
        <v>24</v>
      </c>
      <c r="B6" s="8" t="s">
        <v>20</v>
      </c>
      <c r="C6" s="8" t="s">
        <v>25</v>
      </c>
      <c r="D6" s="10"/>
      <c r="E6" s="11" t="s">
        <v>107</v>
      </c>
      <c r="F6" s="10" t="s">
        <v>169</v>
      </c>
    </row>
    <row r="7" spans="1:6" x14ac:dyDescent="0.65">
      <c r="A7" s="8" t="s">
        <v>26</v>
      </c>
      <c r="B7" s="8" t="s">
        <v>20</v>
      </c>
      <c r="C7" s="8" t="s">
        <v>27</v>
      </c>
      <c r="D7" s="10"/>
      <c r="E7" s="11" t="s">
        <v>107</v>
      </c>
      <c r="F7" s="10" t="s">
        <v>170</v>
      </c>
    </row>
    <row r="8" spans="1:6" x14ac:dyDescent="0.65">
      <c r="A8" s="8" t="s">
        <v>28</v>
      </c>
      <c r="B8" s="8" t="s">
        <v>29</v>
      </c>
      <c r="C8" s="8" t="s">
        <v>30</v>
      </c>
      <c r="D8" s="10"/>
      <c r="E8" s="11" t="s">
        <v>107</v>
      </c>
      <c r="F8" s="10" t="s">
        <v>171</v>
      </c>
    </row>
    <row r="9" spans="1:6" x14ac:dyDescent="0.65">
      <c r="A9" s="8" t="s">
        <v>31</v>
      </c>
      <c r="B9" s="8" t="s">
        <v>32</v>
      </c>
      <c r="C9" s="8" t="s">
        <v>33</v>
      </c>
      <c r="D9" s="10"/>
      <c r="E9" s="11" t="s">
        <v>107</v>
      </c>
      <c r="F9" s="10" t="s">
        <v>172</v>
      </c>
    </row>
    <row r="10" spans="1:6" x14ac:dyDescent="0.65">
      <c r="A10" s="8" t="s">
        <v>34</v>
      </c>
      <c r="B10" s="8" t="s">
        <v>32</v>
      </c>
      <c r="C10" s="8" t="s">
        <v>35</v>
      </c>
      <c r="D10" s="10"/>
      <c r="E10" s="11" t="s">
        <v>107</v>
      </c>
      <c r="F10" s="10" t="s">
        <v>173</v>
      </c>
    </row>
    <row r="11" spans="1:6" x14ac:dyDescent="0.65">
      <c r="A11" s="8" t="s">
        <v>36</v>
      </c>
      <c r="B11" s="8" t="s">
        <v>32</v>
      </c>
      <c r="C11" s="8" t="s">
        <v>37</v>
      </c>
      <c r="D11" s="10"/>
      <c r="E11" s="11" t="s">
        <v>107</v>
      </c>
      <c r="F11" s="10" t="s">
        <v>175</v>
      </c>
    </row>
    <row r="12" spans="1:6" x14ac:dyDescent="0.65">
      <c r="A12" s="8" t="s">
        <v>38</v>
      </c>
      <c r="B12" s="8" t="s">
        <v>32</v>
      </c>
      <c r="C12" s="8" t="s">
        <v>39</v>
      </c>
      <c r="D12" s="10"/>
      <c r="E12" s="11" t="s">
        <v>107</v>
      </c>
      <c r="F12" s="10" t="s">
        <v>174</v>
      </c>
    </row>
    <row r="13" spans="1:6" x14ac:dyDescent="0.65">
      <c r="A13" s="8" t="s">
        <v>40</v>
      </c>
      <c r="B13" s="8" t="s">
        <v>32</v>
      </c>
      <c r="C13" s="8" t="s">
        <v>41</v>
      </c>
      <c r="D13" s="10"/>
      <c r="E13" s="11"/>
      <c r="F13" s="10"/>
    </row>
    <row r="14" spans="1:6" x14ac:dyDescent="0.65">
      <c r="A14" s="8" t="s">
        <v>42</v>
      </c>
      <c r="B14" s="8" t="s">
        <v>32</v>
      </c>
      <c r="C14" s="8" t="s">
        <v>43</v>
      </c>
      <c r="D14" s="10"/>
      <c r="E14" s="11"/>
      <c r="F14" s="10"/>
    </row>
    <row r="15" spans="1:6" x14ac:dyDescent="0.65">
      <c r="A15" s="8" t="s">
        <v>44</v>
      </c>
      <c r="B15" s="8" t="s">
        <v>45</v>
      </c>
      <c r="C15" s="8" t="s">
        <v>46</v>
      </c>
      <c r="D15" s="10"/>
      <c r="E15" s="11"/>
      <c r="F15" s="10"/>
    </row>
    <row r="16" spans="1:6" x14ac:dyDescent="0.65">
      <c r="A16" s="8" t="s">
        <v>47</v>
      </c>
      <c r="B16" s="8" t="s">
        <v>45</v>
      </c>
      <c r="C16" s="8" t="s">
        <v>48</v>
      </c>
      <c r="D16" s="10"/>
      <c r="E16" s="11"/>
      <c r="F16" s="10"/>
    </row>
    <row r="17" spans="1:6" x14ac:dyDescent="0.65">
      <c r="A17" s="8" t="s">
        <v>49</v>
      </c>
      <c r="B17" s="8" t="s">
        <v>45</v>
      </c>
      <c r="C17" s="8" t="s">
        <v>50</v>
      </c>
      <c r="D17" s="10"/>
      <c r="E17" s="11"/>
      <c r="F17" s="10"/>
    </row>
    <row r="18" spans="1:6" x14ac:dyDescent="0.65">
      <c r="A18" s="8" t="s">
        <v>51</v>
      </c>
      <c r="B18" s="8" t="s">
        <v>52</v>
      </c>
      <c r="C18" s="8" t="s">
        <v>53</v>
      </c>
      <c r="D18" s="10"/>
      <c r="E18" s="11"/>
      <c r="F18" s="10"/>
    </row>
    <row r="19" spans="1:6" x14ac:dyDescent="0.65">
      <c r="A19" s="9" t="s">
        <v>54</v>
      </c>
      <c r="B19" s="9" t="s">
        <v>55</v>
      </c>
      <c r="C19" s="9" t="s">
        <v>56</v>
      </c>
      <c r="D19" s="11"/>
      <c r="E19" s="11"/>
      <c r="F19" s="10"/>
    </row>
    <row r="20" spans="1:6" x14ac:dyDescent="0.65">
      <c r="A20" s="9" t="s">
        <v>57</v>
      </c>
      <c r="B20" s="9" t="s">
        <v>55</v>
      </c>
      <c r="C20" s="9" t="s">
        <v>58</v>
      </c>
      <c r="D20" s="11"/>
      <c r="E20" s="11"/>
      <c r="F20" s="10"/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I100"/>
  <sheetViews>
    <sheetView workbookViewId="0"/>
  </sheetViews>
  <sheetFormatPr defaultRowHeight="18.45" x14ac:dyDescent="0.65"/>
  <cols>
    <col min="1" max="1" width="12.35546875" style="4" bestFit="1" customWidth="1"/>
    <col min="2" max="2" width="10.5703125" style="4" bestFit="1" customWidth="1"/>
    <col min="3" max="3" width="9.5703125" style="4" bestFit="1" customWidth="1"/>
    <col min="4" max="4" width="9.7109375" style="4" bestFit="1" customWidth="1"/>
    <col min="5" max="5" width="8.0703125" style="4" bestFit="1" customWidth="1"/>
    <col min="6" max="6" width="3.640625" style="4" customWidth="1"/>
    <col min="7" max="8" width="16.140625" style="4" bestFit="1" customWidth="1"/>
    <col min="9" max="9" width="19.92578125" style="4" bestFit="1" customWidth="1"/>
    <col min="10" max="10" width="9.5703125" style="4" bestFit="1" customWidth="1"/>
    <col min="11" max="11" width="12.140625" style="4" customWidth="1"/>
    <col min="12" max="12" width="9.5" style="4" customWidth="1"/>
    <col min="13" max="13" width="6.42578125" style="4" bestFit="1" customWidth="1"/>
    <col min="14" max="15" width="8.7109375" style="4" bestFit="1" customWidth="1"/>
    <col min="16" max="16" width="6.92578125" style="4" bestFit="1" customWidth="1"/>
    <col min="17" max="17" width="6.2109375" style="4" bestFit="1" customWidth="1"/>
    <col min="18" max="18" width="5.7109375" style="4" bestFit="1" customWidth="1"/>
    <col min="19" max="19" width="8.7109375" style="4" bestFit="1" customWidth="1"/>
    <col min="20" max="20" width="9.5703125" style="4" bestFit="1" customWidth="1"/>
    <col min="21" max="21" width="9.7109375" style="4" bestFit="1" customWidth="1"/>
    <col min="22" max="22" width="8.0703125" style="4" bestFit="1" customWidth="1"/>
    <col min="23" max="23" width="17.7109375" style="4" bestFit="1" customWidth="1"/>
    <col min="24" max="25" width="16.140625" style="4" customWidth="1"/>
    <col min="26" max="26" width="8.7109375" style="4" bestFit="1" customWidth="1"/>
    <col min="27" max="27" width="9.5703125" style="4" bestFit="1" customWidth="1"/>
    <col min="28" max="28" width="9.7109375" style="4" bestFit="1" customWidth="1"/>
    <col min="29" max="29" width="8.0703125" style="4" bestFit="1" customWidth="1"/>
    <col min="30" max="30" width="5.140625" style="4" customWidth="1"/>
    <col min="31" max="31" width="16.140625" style="4" customWidth="1"/>
    <col min="32" max="32" width="8.7109375" style="4" bestFit="1" customWidth="1"/>
    <col min="33" max="33" width="9.5703125" style="4" bestFit="1" customWidth="1"/>
    <col min="34" max="34" width="9.7109375" style="4" bestFit="1" customWidth="1"/>
    <col min="35" max="35" width="8.0703125" style="4" bestFit="1" customWidth="1"/>
  </cols>
  <sheetData>
    <row r="1" spans="1:35" x14ac:dyDescent="0.65">
      <c r="A1" t="s">
        <v>59</v>
      </c>
      <c r="G1" t="s">
        <v>18</v>
      </c>
      <c r="H1"/>
      <c r="N1" t="s">
        <v>60</v>
      </c>
      <c r="X1" t="s">
        <v>61</v>
      </c>
      <c r="AE1" t="s">
        <v>164</v>
      </c>
    </row>
    <row r="2" spans="1:35" s="2" customFormat="1" x14ac:dyDescent="0.65">
      <c r="A2" s="2" t="s">
        <v>62</v>
      </c>
      <c r="B2" s="2" t="s">
        <v>63</v>
      </c>
      <c r="C2" s="2" t="s">
        <v>9</v>
      </c>
      <c r="D2" s="2" t="s">
        <v>10</v>
      </c>
      <c r="E2" s="2" t="s">
        <v>11</v>
      </c>
      <c r="G2" s="2" t="s">
        <v>64</v>
      </c>
      <c r="H2" s="2" t="s">
        <v>65</v>
      </c>
      <c r="I2" s="2" t="s">
        <v>66</v>
      </c>
      <c r="J2" s="2" t="s">
        <v>9</v>
      </c>
      <c r="K2" s="2" t="s">
        <v>10</v>
      </c>
      <c r="L2" s="2" t="s">
        <v>11</v>
      </c>
      <c r="N2" s="2" t="s">
        <v>67</v>
      </c>
      <c r="O2" s="2" t="s">
        <v>17</v>
      </c>
      <c r="P2" s="2" t="s">
        <v>68</v>
      </c>
      <c r="Q2" s="2" t="s">
        <v>69</v>
      </c>
      <c r="R2" s="2" t="s">
        <v>70</v>
      </c>
      <c r="S2" s="2" t="s">
        <v>71</v>
      </c>
      <c r="T2" s="2" t="s">
        <v>9</v>
      </c>
      <c r="U2" s="2" t="s">
        <v>10</v>
      </c>
      <c r="V2" s="2" t="s">
        <v>11</v>
      </c>
      <c r="X2" s="2" t="s">
        <v>64</v>
      </c>
      <c r="Y2" s="2" t="s">
        <v>65</v>
      </c>
      <c r="Z2" s="2" t="s">
        <v>72</v>
      </c>
      <c r="AA2" s="2" t="s">
        <v>9</v>
      </c>
      <c r="AB2" s="2" t="s">
        <v>10</v>
      </c>
      <c r="AC2" s="2" t="s">
        <v>11</v>
      </c>
      <c r="AE2" s="2" t="s">
        <v>65</v>
      </c>
      <c r="AF2" s="2" t="s">
        <v>72</v>
      </c>
      <c r="AG2" s="2" t="s">
        <v>9</v>
      </c>
      <c r="AH2" s="2" t="s">
        <v>10</v>
      </c>
      <c r="AI2" s="2" t="s">
        <v>11</v>
      </c>
    </row>
    <row r="3" spans="1:35" x14ac:dyDescent="0.65">
      <c r="A3"/>
      <c r="B3"/>
      <c r="C3" s="3">
        <f>用途別面積[[#This Row],[床面積]]</f>
        <v>0</v>
      </c>
      <c r="D3" s="3" t="str">
        <f>IFERROR(VLOOKUP(用途別面積[[#This Row],[建物用途]],用途別面積_map[#All],2,FALSE),"")</f>
        <v/>
      </c>
      <c r="E3" s="3" t="str">
        <f>IFERROR(VLOOKUP(用途別面積[[#This Row],[建物用途]],用途別面積_map[#All],3,FALSE),"")</f>
        <v/>
      </c>
      <c r="G3"/>
      <c r="H3"/>
      <c r="I3"/>
      <c r="J3" s="3">
        <f>現場打杭[[#This Row],[コンクリート数量]]</f>
        <v>0</v>
      </c>
      <c r="K3" s="3" t="str" cm="1">
        <f t="array" aca="1" ref="K3" ca="1">IFERROR(INDEX(INDIRECT("現場打杭_"&amp;G3&amp;"[sheet]"),IFERROR(MATCH(H3,INDIRECT("現場打杭_"&amp;G3&amp;"[設計基準強度]"),-1),1)),"")</f>
        <v/>
      </c>
      <c r="L3" s="3" t="str" cm="1">
        <f t="array" aca="1" ref="L3" ca="1">IFERROR(INDEX(INDIRECT("現場打杭_"&amp;G3&amp;"[cell]"),IFERROR(MATCH(H3,INDIRECT("現場打杭_"&amp;G3&amp;"[設計基準強度]"),-1),1)),"")</f>
        <v/>
      </c>
      <c r="T3" s="3">
        <f>既製杭[[#This Row],[L]]/1000*既製杭[[#This Row],[員数]]</f>
        <v>0</v>
      </c>
      <c r="U3" s="3" t="str">
        <f>IFERROR(INDEX(既製杭_map[sheet],MATCH(既製杭[[#This Row],[杭種]],既製杭_map[杭種],0)),"")</f>
        <v/>
      </c>
      <c r="V3" s="3" t="str">
        <f>IFERROR(INDEX(既製杭_map[cell],MATCH(既製杭[[#This Row],[杭種]],既製杭_map[杭種],0)),"")</f>
        <v/>
      </c>
      <c r="X3"/>
      <c r="Y3"/>
      <c r="Z3"/>
      <c r="AA3" s="3">
        <f>現場打コンクリート[[#This Row],[数量]]</f>
        <v>0</v>
      </c>
      <c r="AB3" s="3" t="str" cm="1">
        <f t="array" aca="1" ref="AB3" ca="1">IFERROR(INDEX(INDIRECT("現場打コンクリート_"&amp;X3&amp;"[sheet]"),IFERROR(MATCH(Y3,INDIRECT("現場打コンクリート_"&amp;X3&amp;"[設計基準強度]"),-1),1)),"")</f>
        <v/>
      </c>
      <c r="AC3" s="3" t="str" cm="1">
        <f t="array" aca="1" ref="AC3" ca="1">IFERROR(INDEX(INDIRECT("現場打コンクリート_"&amp;X3&amp;"[cell]"),IFERROR(MATCH(Y3,INDIRECT("現場打コンクリート_"&amp;X3&amp;"[設計基準強度]"),-1),1)),"")</f>
        <v/>
      </c>
      <c r="AE3"/>
      <c r="AF3"/>
      <c r="AG3" s="3">
        <f>PCaコンクリート_鉄筋無し[[#This Row],[数量]]</f>
        <v>0</v>
      </c>
      <c r="AH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" spans="1:35" x14ac:dyDescent="0.65">
      <c r="A4" s="5"/>
      <c r="B4" s="5"/>
      <c r="C4" s="6">
        <f>用途別面積[[#This Row],[床面積]]</f>
        <v>0</v>
      </c>
      <c r="D4" s="6" t="str">
        <f>IFERROR(VLOOKUP(用途別面積[[#This Row],[建物用途]],用途別面積_map[#All],2,FALSE),"")</f>
        <v/>
      </c>
      <c r="E4" s="6" t="str">
        <f>IFERROR(VLOOKUP(用途別面積[[#This Row],[建物用途]],用途別面積_map[#All],3,FALSE),"")</f>
        <v/>
      </c>
      <c r="G4"/>
      <c r="H4"/>
      <c r="I4"/>
      <c r="J4" s="6">
        <f>現場打杭[[#This Row],[コンクリート数量]]</f>
        <v>0</v>
      </c>
      <c r="K4" s="3" t="str" cm="1">
        <f t="array" aca="1" ref="K4" ca="1">IFERROR(INDEX(INDIRECT("現場打杭_"&amp;G4&amp;"[sheet]"),IFERROR(MATCH(H4,INDIRECT("現場打杭_"&amp;G4&amp;"[設計基準強度]"),-1),1)),"")</f>
        <v/>
      </c>
      <c r="L4" s="3" t="str" cm="1">
        <f t="array" aca="1" ref="L4" ca="1">IFERROR(INDEX(INDIRECT("現場打杭_"&amp;G4&amp;"[cell]"),IFERROR(MATCH(H4,INDIRECT("現場打杭_"&amp;G4&amp;"[設計基準強度]"),-1),1)),"")</f>
        <v/>
      </c>
      <c r="N4" s="5"/>
      <c r="O4" s="5"/>
      <c r="P4" s="5"/>
      <c r="Q4" s="5"/>
      <c r="R4" s="5"/>
      <c r="S4" s="5"/>
      <c r="T4" s="3">
        <f>既製杭[[#This Row],[L]]/1000*既製杭[[#This Row],[員数]]</f>
        <v>0</v>
      </c>
      <c r="U4" s="3" t="str">
        <f>IFERROR(INDEX(既製杭_map[sheet],MATCH(既製杭[[#This Row],[杭種]],既製杭_map[杭種],0)),"")</f>
        <v/>
      </c>
      <c r="V4" s="3" t="str">
        <f>IFERROR(INDEX(既製杭_map[cell],MATCH(既製杭[[#This Row],[杭種]],既製杭_map[杭種],0)),"")</f>
        <v/>
      </c>
      <c r="X4" s="5"/>
      <c r="Y4" s="5"/>
      <c r="Z4" s="5"/>
      <c r="AA4" s="3">
        <f>現場打コンクリート[[#This Row],[数量]]</f>
        <v>0</v>
      </c>
      <c r="AB4" s="3" t="str" cm="1">
        <f t="array" aca="1" ref="AB4" ca="1">IFERROR(INDEX(INDIRECT("現場打コンクリート_"&amp;X4&amp;"[sheet]"),IFERROR(MATCH(Y4,INDIRECT("現場打コンクリート_"&amp;X4&amp;"[設計基準強度]"),-1),1)),"")</f>
        <v/>
      </c>
      <c r="AC4" s="3" t="str" cm="1">
        <f t="array" aca="1" ref="AC4" ca="1">IFERROR(INDEX(INDIRECT("現場打コンクリート_"&amp;X4&amp;"[cell]"),IFERROR(MATCH(Y4,INDIRECT("現場打コンクリート_"&amp;X4&amp;"[設計基準強度]"),-1),1)),"")</f>
        <v/>
      </c>
      <c r="AE4" s="5"/>
      <c r="AF4" s="5"/>
      <c r="AG4" s="3">
        <f>PCaコンクリート_鉄筋無し[[#This Row],[数量]]</f>
        <v>0</v>
      </c>
      <c r="AH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" spans="1:35" x14ac:dyDescent="0.65">
      <c r="A5" s="5"/>
      <c r="B5" s="5"/>
      <c r="C5" s="6">
        <f>用途別面積[[#This Row],[床面積]]</f>
        <v>0</v>
      </c>
      <c r="D5" s="6" t="str">
        <f>IFERROR(VLOOKUP(用途別面積[[#This Row],[建物用途]],用途別面積_map[#All],2,FALSE),"")</f>
        <v/>
      </c>
      <c r="E5" s="6" t="str">
        <f>IFERROR(VLOOKUP(用途別面積[[#This Row],[建物用途]],用途別面積_map[#All],3,FALSE),"")</f>
        <v/>
      </c>
      <c r="G5"/>
      <c r="H5"/>
      <c r="I5"/>
      <c r="J5" s="6">
        <f>現場打杭[[#This Row],[コンクリート数量]]</f>
        <v>0</v>
      </c>
      <c r="K5" s="3" t="str" cm="1">
        <f t="array" aca="1" ref="K5" ca="1">IFERROR(INDEX(INDIRECT("現場打杭_"&amp;G5&amp;"[sheet]"),IFERROR(MATCH(H5,INDIRECT("現場打杭_"&amp;G5&amp;"[設計基準強度]"),-1),1)),"")</f>
        <v/>
      </c>
      <c r="L5" s="3" t="str" cm="1">
        <f t="array" aca="1" ref="L5" ca="1">IFERROR(INDEX(INDIRECT("現場打杭_"&amp;G5&amp;"[cell]"),IFERROR(MATCH(H5,INDIRECT("現場打杭_"&amp;G5&amp;"[設計基準強度]"),-1),1)),"")</f>
        <v/>
      </c>
      <c r="N5" s="5"/>
      <c r="O5" s="5"/>
      <c r="P5" s="5"/>
      <c r="Q5" s="5"/>
      <c r="R5" s="5"/>
      <c r="S5" s="5"/>
      <c r="T5" s="3">
        <f>既製杭[[#This Row],[L]]/1000*既製杭[[#This Row],[員数]]</f>
        <v>0</v>
      </c>
      <c r="U5" s="3" t="str">
        <f>IFERROR(INDEX(既製杭_map[sheet],MATCH(既製杭[[#This Row],[杭種]],既製杭_map[杭種],0)),"")</f>
        <v/>
      </c>
      <c r="V5" s="3" t="str">
        <f>IFERROR(INDEX(既製杭_map[cell],MATCH(既製杭[[#This Row],[杭種]],既製杭_map[杭種],0)),"")</f>
        <v/>
      </c>
      <c r="X5" s="5"/>
      <c r="Y5" s="5"/>
      <c r="Z5" s="5"/>
      <c r="AA5" s="3">
        <f>現場打コンクリート[[#This Row],[数量]]</f>
        <v>0</v>
      </c>
      <c r="AB5" s="3" t="str" cm="1">
        <f t="array" aca="1" ref="AB5" ca="1">IFERROR(INDEX(INDIRECT("現場打コンクリート_"&amp;X5&amp;"[sheet]"),IFERROR(MATCH(Y5,INDIRECT("現場打コンクリート_"&amp;X5&amp;"[設計基準強度]"),-1),1)),"")</f>
        <v/>
      </c>
      <c r="AC5" s="3" t="str" cm="1">
        <f t="array" aca="1" ref="AC5" ca="1">IFERROR(INDEX(INDIRECT("現場打コンクリート_"&amp;X5&amp;"[cell]"),IFERROR(MATCH(Y5,INDIRECT("現場打コンクリート_"&amp;X5&amp;"[設計基準強度]"),-1),1)),"")</f>
        <v/>
      </c>
      <c r="AE5" s="5"/>
      <c r="AF5" s="5"/>
      <c r="AG5" s="3">
        <f>PCaコンクリート_鉄筋無し[[#This Row],[数量]]</f>
        <v>0</v>
      </c>
      <c r="AH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" spans="1:35" x14ac:dyDescent="0.65">
      <c r="A6" s="5"/>
      <c r="B6" s="5"/>
      <c r="C6" s="6">
        <f>用途別面積[[#This Row],[床面積]]</f>
        <v>0</v>
      </c>
      <c r="D6" s="6" t="str">
        <f>IFERROR(VLOOKUP(用途別面積[[#This Row],[建物用途]],用途別面積_map[#All],2,FALSE),"")</f>
        <v/>
      </c>
      <c r="E6" s="6" t="str">
        <f>IFERROR(VLOOKUP(用途別面積[[#This Row],[建物用途]],用途別面積_map[#All],3,FALSE),"")</f>
        <v/>
      </c>
      <c r="G6"/>
      <c r="H6"/>
      <c r="I6"/>
      <c r="J6" s="6">
        <f>現場打杭[[#This Row],[コンクリート数量]]</f>
        <v>0</v>
      </c>
      <c r="K6" s="3" t="str" cm="1">
        <f t="array" aca="1" ref="K6" ca="1">IFERROR(INDEX(INDIRECT("現場打杭_"&amp;G6&amp;"[sheet]"),IFERROR(MATCH(H6,INDIRECT("現場打杭_"&amp;G6&amp;"[設計基準強度]"),-1),1)),"")</f>
        <v/>
      </c>
      <c r="L6" s="3" t="str" cm="1">
        <f t="array" aca="1" ref="L6" ca="1">IFERROR(INDEX(INDIRECT("現場打杭_"&amp;G6&amp;"[cell]"),IFERROR(MATCH(H6,INDIRECT("現場打杭_"&amp;G6&amp;"[設計基準強度]"),-1),1)),"")</f>
        <v/>
      </c>
      <c r="N6" s="5"/>
      <c r="O6" s="5"/>
      <c r="P6" s="5"/>
      <c r="Q6" s="5"/>
      <c r="R6" s="5"/>
      <c r="S6" s="5"/>
      <c r="T6" s="3">
        <f>既製杭[[#This Row],[L]]/1000*既製杭[[#This Row],[員数]]</f>
        <v>0</v>
      </c>
      <c r="U6" s="3" t="str">
        <f>IFERROR(INDEX(既製杭_map[sheet],MATCH(既製杭[[#This Row],[杭種]],既製杭_map[杭種],0)),"")</f>
        <v/>
      </c>
      <c r="V6" s="3" t="str">
        <f>IFERROR(INDEX(既製杭_map[cell],MATCH(既製杭[[#This Row],[杭種]],既製杭_map[杭種],0)),"")</f>
        <v/>
      </c>
      <c r="X6" s="5"/>
      <c r="Y6" s="5"/>
      <c r="Z6" s="5"/>
      <c r="AA6" s="3">
        <f>現場打コンクリート[[#This Row],[数量]]</f>
        <v>0</v>
      </c>
      <c r="AB6" s="3" t="str" cm="1">
        <f t="array" aca="1" ref="AB6" ca="1">IFERROR(INDEX(INDIRECT("現場打コンクリート_"&amp;X6&amp;"[sheet]"),IFERROR(MATCH(Y6,INDIRECT("現場打コンクリート_"&amp;X6&amp;"[設計基準強度]"),-1),1)),"")</f>
        <v/>
      </c>
      <c r="AC6" s="3" t="str" cm="1">
        <f t="array" aca="1" ref="AC6" ca="1">IFERROR(INDEX(INDIRECT("現場打コンクリート_"&amp;X6&amp;"[cell]"),IFERROR(MATCH(Y6,INDIRECT("現場打コンクリート_"&amp;X6&amp;"[設計基準強度]"),-1),1)),"")</f>
        <v/>
      </c>
      <c r="AE6" s="5"/>
      <c r="AF6" s="5"/>
      <c r="AG6" s="3">
        <f>PCaコンクリート_鉄筋無し[[#This Row],[数量]]</f>
        <v>0</v>
      </c>
      <c r="AH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" spans="1:35" x14ac:dyDescent="0.65">
      <c r="A7" s="5"/>
      <c r="B7" s="5"/>
      <c r="C7" s="6">
        <f>用途別面積[[#This Row],[床面積]]</f>
        <v>0</v>
      </c>
      <c r="D7" s="6" t="str">
        <f>IFERROR(VLOOKUP(用途別面積[[#This Row],[建物用途]],用途別面積_map[#All],2,FALSE),"")</f>
        <v/>
      </c>
      <c r="E7" s="6" t="str">
        <f>IFERROR(VLOOKUP(用途別面積[[#This Row],[建物用途]],用途別面積_map[#All],3,FALSE),"")</f>
        <v/>
      </c>
      <c r="J7" s="6">
        <f>現場打杭[[#This Row],[コンクリート数量]]</f>
        <v>0</v>
      </c>
      <c r="K7" s="3" t="str" cm="1">
        <f t="array" aca="1" ref="K7" ca="1">IFERROR(INDEX(INDIRECT("現場打杭_"&amp;G7&amp;"[sheet]"),IFERROR(MATCH(H7,INDIRECT("現場打杭_"&amp;G7&amp;"[設計基準強度]"),-1),1)),"")</f>
        <v/>
      </c>
      <c r="L7" s="3" t="str" cm="1">
        <f t="array" aca="1" ref="L7" ca="1">IFERROR(INDEX(INDIRECT("現場打杭_"&amp;G7&amp;"[cell]"),IFERROR(MATCH(H7,INDIRECT("現場打杭_"&amp;G7&amp;"[設計基準強度]"),-1),1)),"")</f>
        <v/>
      </c>
      <c r="N7" s="5"/>
      <c r="O7" s="5"/>
      <c r="P7" s="5"/>
      <c r="Q7" s="5"/>
      <c r="R7" s="5"/>
      <c r="S7" s="5"/>
      <c r="T7" s="3">
        <f>既製杭[[#This Row],[L]]/1000*既製杭[[#This Row],[員数]]</f>
        <v>0</v>
      </c>
      <c r="U7" s="3" t="str">
        <f>IFERROR(INDEX(既製杭_map[sheet],MATCH(既製杭[[#This Row],[杭種]],既製杭_map[杭種],0)),"")</f>
        <v/>
      </c>
      <c r="V7" s="3" t="str">
        <f>IFERROR(INDEX(既製杭_map[cell],MATCH(既製杭[[#This Row],[杭種]],既製杭_map[杭種],0)),"")</f>
        <v/>
      </c>
      <c r="X7" s="5"/>
      <c r="Y7" s="5"/>
      <c r="Z7" s="5"/>
      <c r="AA7" s="3">
        <f>現場打コンクリート[[#This Row],[数量]]</f>
        <v>0</v>
      </c>
      <c r="AB7" s="3" t="str" cm="1">
        <f t="array" aca="1" ref="AB7" ca="1">IFERROR(INDEX(INDIRECT("現場打コンクリート_"&amp;X7&amp;"[sheet]"),IFERROR(MATCH(Y7,INDIRECT("現場打コンクリート_"&amp;X7&amp;"[設計基準強度]"),-1),1)),"")</f>
        <v/>
      </c>
      <c r="AC7" s="3" t="str" cm="1">
        <f t="array" aca="1" ref="AC7" ca="1">IFERROR(INDEX(INDIRECT("現場打コンクリート_"&amp;X7&amp;"[cell]"),IFERROR(MATCH(Y7,INDIRECT("現場打コンクリート_"&amp;X7&amp;"[設計基準強度]"),-1),1)),"")</f>
        <v/>
      </c>
      <c r="AE7" s="5"/>
      <c r="AF7" s="5"/>
      <c r="AG7" s="3">
        <f>PCaコンクリート_鉄筋無し[[#This Row],[数量]]</f>
        <v>0</v>
      </c>
      <c r="AH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" spans="1:35" x14ac:dyDescent="0.65">
      <c r="A8" s="5"/>
      <c r="B8" s="5"/>
      <c r="C8" s="6">
        <f>用途別面積[[#This Row],[床面積]]</f>
        <v>0</v>
      </c>
      <c r="D8" s="6" t="str">
        <f>IFERROR(VLOOKUP(用途別面積[[#This Row],[建物用途]],用途別面積_map[#All],2,FALSE),"")</f>
        <v/>
      </c>
      <c r="E8" s="6" t="str">
        <f>IFERROR(VLOOKUP(用途別面積[[#This Row],[建物用途]],用途別面積_map[#All],3,FALSE),"")</f>
        <v/>
      </c>
      <c r="J8" s="6">
        <f>現場打杭[[#This Row],[コンクリート数量]]</f>
        <v>0</v>
      </c>
      <c r="K8" s="3" t="str" cm="1">
        <f t="array" aca="1" ref="K8" ca="1">IFERROR(INDEX(INDIRECT("現場打杭_"&amp;G8&amp;"[sheet]"),IFERROR(MATCH(H8,INDIRECT("現場打杭_"&amp;G8&amp;"[設計基準強度]"),-1),1)),"")</f>
        <v/>
      </c>
      <c r="L8" s="3" t="str" cm="1">
        <f t="array" aca="1" ref="L8" ca="1">IFERROR(INDEX(INDIRECT("現場打杭_"&amp;G8&amp;"[cell]"),IFERROR(MATCH(H8,INDIRECT("現場打杭_"&amp;G8&amp;"[設計基準強度]"),-1),1)),"")</f>
        <v/>
      </c>
      <c r="N8" s="5"/>
      <c r="O8" s="5"/>
      <c r="P8" s="5"/>
      <c r="Q8" s="5"/>
      <c r="R8" s="5"/>
      <c r="S8" s="5"/>
      <c r="T8" s="3">
        <f>既製杭[[#This Row],[L]]/1000*既製杭[[#This Row],[員数]]</f>
        <v>0</v>
      </c>
      <c r="U8" s="3" t="str">
        <f>IFERROR(INDEX(既製杭_map[sheet],MATCH(既製杭[[#This Row],[杭種]],既製杭_map[杭種],0)),"")</f>
        <v/>
      </c>
      <c r="V8" s="3" t="str">
        <f>IFERROR(INDEX(既製杭_map[cell],MATCH(既製杭[[#This Row],[杭種]],既製杭_map[杭種],0)),"")</f>
        <v/>
      </c>
      <c r="X8" s="5"/>
      <c r="Y8" s="5"/>
      <c r="Z8" s="5"/>
      <c r="AA8" s="3">
        <f>現場打コンクリート[[#This Row],[数量]]</f>
        <v>0</v>
      </c>
      <c r="AB8" s="3" t="str" cm="1">
        <f t="array" aca="1" ref="AB8" ca="1">IFERROR(INDEX(INDIRECT("現場打コンクリート_"&amp;X8&amp;"[sheet]"),IFERROR(MATCH(Y8,INDIRECT("現場打コンクリート_"&amp;X8&amp;"[設計基準強度]"),-1),1)),"")</f>
        <v/>
      </c>
      <c r="AC8" s="3" t="str" cm="1">
        <f t="array" aca="1" ref="AC8" ca="1">IFERROR(INDEX(INDIRECT("現場打コンクリート_"&amp;X8&amp;"[cell]"),IFERROR(MATCH(Y8,INDIRECT("現場打コンクリート_"&amp;X8&amp;"[設計基準強度]"),-1),1)),"")</f>
        <v/>
      </c>
      <c r="AE8" s="5"/>
      <c r="AF8" s="5"/>
      <c r="AG8" s="3">
        <f>PCaコンクリート_鉄筋無し[[#This Row],[数量]]</f>
        <v>0</v>
      </c>
      <c r="AH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" spans="1:35" x14ac:dyDescent="0.65">
      <c r="A9" s="5"/>
      <c r="B9" s="5"/>
      <c r="C9" s="6">
        <f>用途別面積[[#This Row],[床面積]]</f>
        <v>0</v>
      </c>
      <c r="D9" s="6" t="str">
        <f>IFERROR(VLOOKUP(用途別面積[[#This Row],[建物用途]],用途別面積_map[#All],2,FALSE),"")</f>
        <v/>
      </c>
      <c r="E9" s="6" t="str">
        <f>IFERROR(VLOOKUP(用途別面積[[#This Row],[建物用途]],用途別面積_map[#All],3,FALSE),"")</f>
        <v/>
      </c>
      <c r="J9" s="6">
        <f>現場打杭[[#This Row],[コンクリート数量]]</f>
        <v>0</v>
      </c>
      <c r="K9" s="3" t="str" cm="1">
        <f t="array" aca="1" ref="K9" ca="1">IFERROR(INDEX(INDIRECT("現場打杭_"&amp;G9&amp;"[sheet]"),IFERROR(MATCH(H9,INDIRECT("現場打杭_"&amp;G9&amp;"[設計基準強度]"),-1),1)),"")</f>
        <v/>
      </c>
      <c r="L9" s="3" t="str" cm="1">
        <f t="array" aca="1" ref="L9" ca="1">IFERROR(INDEX(INDIRECT("現場打杭_"&amp;G9&amp;"[cell]"),IFERROR(MATCH(H9,INDIRECT("現場打杭_"&amp;G9&amp;"[設計基準強度]"),-1),1)),"")</f>
        <v/>
      </c>
      <c r="N9" s="5"/>
      <c r="O9" s="5"/>
      <c r="P9" s="5"/>
      <c r="Q9" s="5"/>
      <c r="R9" s="5"/>
      <c r="S9" s="5"/>
      <c r="T9" s="3">
        <f>既製杭[[#This Row],[L]]/1000*既製杭[[#This Row],[員数]]</f>
        <v>0</v>
      </c>
      <c r="U9" s="3" t="str">
        <f>IFERROR(INDEX(既製杭_map[sheet],MATCH(既製杭[[#This Row],[杭種]],既製杭_map[杭種],0)),"")</f>
        <v/>
      </c>
      <c r="V9" s="3" t="str">
        <f>IFERROR(INDEX(既製杭_map[cell],MATCH(既製杭[[#This Row],[杭種]],既製杭_map[杭種],0)),"")</f>
        <v/>
      </c>
      <c r="X9" s="5"/>
      <c r="Y9" s="5"/>
      <c r="Z9" s="5"/>
      <c r="AA9" s="3">
        <f>現場打コンクリート[[#This Row],[数量]]</f>
        <v>0</v>
      </c>
      <c r="AB9" s="3" t="str" cm="1">
        <f t="array" aca="1" ref="AB9" ca="1">IFERROR(INDEX(INDIRECT("現場打コンクリート_"&amp;X9&amp;"[sheet]"),IFERROR(MATCH(Y9,INDIRECT("現場打コンクリート_"&amp;X9&amp;"[設計基準強度]"),-1),1)),"")</f>
        <v/>
      </c>
      <c r="AC9" s="3" t="str" cm="1">
        <f t="array" aca="1" ref="AC9" ca="1">IFERROR(INDEX(INDIRECT("現場打コンクリート_"&amp;X9&amp;"[cell]"),IFERROR(MATCH(Y9,INDIRECT("現場打コンクリート_"&amp;X9&amp;"[設計基準強度]"),-1),1)),"")</f>
        <v/>
      </c>
      <c r="AE9" s="5"/>
      <c r="AF9" s="5"/>
      <c r="AG9" s="3">
        <f>PCaコンクリート_鉄筋無し[[#This Row],[数量]]</f>
        <v>0</v>
      </c>
      <c r="AH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0" spans="1:35" x14ac:dyDescent="0.65">
      <c r="A10" s="5"/>
      <c r="B10" s="5"/>
      <c r="C10" s="6">
        <f>用途別面積[[#This Row],[床面積]]</f>
        <v>0</v>
      </c>
      <c r="D10" s="6" t="str">
        <f>IFERROR(VLOOKUP(用途別面積[[#This Row],[建物用途]],用途別面積_map[#All],2,FALSE),"")</f>
        <v/>
      </c>
      <c r="E10" s="6" t="str">
        <f>IFERROR(VLOOKUP(用途別面積[[#This Row],[建物用途]],用途別面積_map[#All],3,FALSE),"")</f>
        <v/>
      </c>
      <c r="J10" s="6">
        <f>現場打杭[[#This Row],[コンクリート数量]]</f>
        <v>0</v>
      </c>
      <c r="K10" s="3" t="str" cm="1">
        <f t="array" aca="1" ref="K10" ca="1">IFERROR(INDEX(INDIRECT("現場打杭_"&amp;G10&amp;"[sheet]"),IFERROR(MATCH(H10,INDIRECT("現場打杭_"&amp;G10&amp;"[設計基準強度]"),-1),1)),"")</f>
        <v/>
      </c>
      <c r="L10" s="3" t="str" cm="1">
        <f t="array" aca="1" ref="L10" ca="1">IFERROR(INDEX(INDIRECT("現場打杭_"&amp;G10&amp;"[cell]"),IFERROR(MATCH(H10,INDIRECT("現場打杭_"&amp;G10&amp;"[設計基準強度]"),-1),1)),"")</f>
        <v/>
      </c>
      <c r="N10" s="5"/>
      <c r="O10" s="5"/>
      <c r="P10" s="5"/>
      <c r="Q10" s="5"/>
      <c r="R10" s="5"/>
      <c r="S10" s="5"/>
      <c r="T10" s="3">
        <f>既製杭[[#This Row],[L]]/1000*既製杭[[#This Row],[員数]]</f>
        <v>0</v>
      </c>
      <c r="U10" s="3" t="str">
        <f>IFERROR(INDEX(既製杭_map[sheet],MATCH(既製杭[[#This Row],[杭種]],既製杭_map[杭種],0)),"")</f>
        <v/>
      </c>
      <c r="V10" s="3" t="str">
        <f>IFERROR(INDEX(既製杭_map[cell],MATCH(既製杭[[#This Row],[杭種]],既製杭_map[杭種],0)),"")</f>
        <v/>
      </c>
      <c r="X10" s="5"/>
      <c r="Y10" s="5"/>
      <c r="Z10" s="5"/>
      <c r="AA10" s="3">
        <f>現場打コンクリート[[#This Row],[数量]]</f>
        <v>0</v>
      </c>
      <c r="AB10" s="3" t="str" cm="1">
        <f t="array" aca="1" ref="AB10" ca="1">IFERROR(INDEX(INDIRECT("現場打コンクリート_"&amp;X10&amp;"[sheet]"),IFERROR(MATCH(Y10,INDIRECT("現場打コンクリート_"&amp;X10&amp;"[設計基準強度]"),-1),1)),"")</f>
        <v/>
      </c>
      <c r="AC10" s="3" t="str" cm="1">
        <f t="array" aca="1" ref="AC10" ca="1">IFERROR(INDEX(INDIRECT("現場打コンクリート_"&amp;X10&amp;"[cell]"),IFERROR(MATCH(Y10,INDIRECT("現場打コンクリート_"&amp;X10&amp;"[設計基準強度]"),-1),1)),"")</f>
        <v/>
      </c>
      <c r="AE10" s="5"/>
      <c r="AF10" s="5"/>
      <c r="AG10" s="3">
        <f>PCaコンクリート_鉄筋無し[[#This Row],[数量]]</f>
        <v>0</v>
      </c>
      <c r="AH1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1" spans="1:35" x14ac:dyDescent="0.65">
      <c r="A11" s="5"/>
      <c r="B11" s="5"/>
      <c r="C11" s="6">
        <f>用途別面積[[#This Row],[床面積]]</f>
        <v>0</v>
      </c>
      <c r="D11" s="6" t="str">
        <f>IFERROR(VLOOKUP(用途別面積[[#This Row],[建物用途]],用途別面積_map[#All],2,FALSE),"")</f>
        <v/>
      </c>
      <c r="E11" s="6" t="str">
        <f>IFERROR(VLOOKUP(用途別面積[[#This Row],[建物用途]],用途別面積_map[#All],3,FALSE),"")</f>
        <v/>
      </c>
      <c r="J11" s="6">
        <f>現場打杭[[#This Row],[コンクリート数量]]</f>
        <v>0</v>
      </c>
      <c r="K11" s="3" t="str" cm="1">
        <f t="array" aca="1" ref="K11" ca="1">IFERROR(INDEX(INDIRECT("現場打杭_"&amp;G11&amp;"[sheet]"),IFERROR(MATCH(H11,INDIRECT("現場打杭_"&amp;G11&amp;"[設計基準強度]"),-1),1)),"")</f>
        <v/>
      </c>
      <c r="L11" s="3" t="str" cm="1">
        <f t="array" aca="1" ref="L11" ca="1">IFERROR(INDEX(INDIRECT("現場打杭_"&amp;G11&amp;"[cell]"),IFERROR(MATCH(H11,INDIRECT("現場打杭_"&amp;G11&amp;"[設計基準強度]"),-1),1)),"")</f>
        <v/>
      </c>
      <c r="N11" s="5"/>
      <c r="O11" s="5"/>
      <c r="P11" s="5"/>
      <c r="Q11" s="5"/>
      <c r="R11" s="5"/>
      <c r="S11" s="5"/>
      <c r="T11" s="3">
        <f>既製杭[[#This Row],[L]]/1000*既製杭[[#This Row],[員数]]</f>
        <v>0</v>
      </c>
      <c r="U11" s="3" t="str">
        <f>IFERROR(INDEX(既製杭_map[sheet],MATCH(既製杭[[#This Row],[杭種]],既製杭_map[杭種],0)),"")</f>
        <v/>
      </c>
      <c r="V11" s="3" t="str">
        <f>IFERROR(INDEX(既製杭_map[cell],MATCH(既製杭[[#This Row],[杭種]],既製杭_map[杭種],0)),"")</f>
        <v/>
      </c>
      <c r="X11" s="5"/>
      <c r="Y11" s="5"/>
      <c r="Z11" s="5"/>
      <c r="AA11" s="3">
        <f>現場打コンクリート[[#This Row],[数量]]</f>
        <v>0</v>
      </c>
      <c r="AB11" s="3" t="str" cm="1">
        <f t="array" aca="1" ref="AB11" ca="1">IFERROR(INDEX(INDIRECT("現場打コンクリート_"&amp;X11&amp;"[sheet]"),IFERROR(MATCH(Y11,INDIRECT("現場打コンクリート_"&amp;X11&amp;"[設計基準強度]"),-1),1)),"")</f>
        <v/>
      </c>
      <c r="AC11" s="3" t="str" cm="1">
        <f t="array" aca="1" ref="AC11" ca="1">IFERROR(INDEX(INDIRECT("現場打コンクリート_"&amp;X11&amp;"[cell]"),IFERROR(MATCH(Y11,INDIRECT("現場打コンクリート_"&amp;X11&amp;"[設計基準強度]"),-1),1)),"")</f>
        <v/>
      </c>
      <c r="AE11" s="5"/>
      <c r="AF11" s="5"/>
      <c r="AG11" s="3">
        <f>PCaコンクリート_鉄筋無し[[#This Row],[数量]]</f>
        <v>0</v>
      </c>
      <c r="AH1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2" spans="1:35" x14ac:dyDescent="0.65">
      <c r="A12" s="5"/>
      <c r="B12" s="5"/>
      <c r="C12" s="6">
        <f>用途別面積[[#This Row],[床面積]]</f>
        <v>0</v>
      </c>
      <c r="D12" s="6" t="str">
        <f>IFERROR(VLOOKUP(用途別面積[[#This Row],[建物用途]],用途別面積_map[#All],2,FALSE),"")</f>
        <v/>
      </c>
      <c r="E12" s="6" t="str">
        <f>IFERROR(VLOOKUP(用途別面積[[#This Row],[建物用途]],用途別面積_map[#All],3,FALSE),"")</f>
        <v/>
      </c>
      <c r="J12" s="6">
        <f>現場打杭[[#This Row],[コンクリート数量]]</f>
        <v>0</v>
      </c>
      <c r="K12" s="3" t="str" cm="1">
        <f t="array" aca="1" ref="K12" ca="1">IFERROR(INDEX(INDIRECT("現場打杭_"&amp;G12&amp;"[sheet]"),IFERROR(MATCH(H12,INDIRECT("現場打杭_"&amp;G12&amp;"[設計基準強度]"),-1),1)),"")</f>
        <v/>
      </c>
      <c r="L12" s="3" t="str" cm="1">
        <f t="array" aca="1" ref="L12" ca="1">IFERROR(INDEX(INDIRECT("現場打杭_"&amp;G12&amp;"[cell]"),IFERROR(MATCH(H12,INDIRECT("現場打杭_"&amp;G12&amp;"[設計基準強度]"),-1),1)),"")</f>
        <v/>
      </c>
      <c r="N12" s="5"/>
      <c r="O12" s="5"/>
      <c r="P12" s="5"/>
      <c r="Q12" s="5"/>
      <c r="R12" s="5"/>
      <c r="S12" s="5"/>
      <c r="T12" s="3">
        <f>既製杭[[#This Row],[L]]/1000*既製杭[[#This Row],[員数]]</f>
        <v>0</v>
      </c>
      <c r="U12" s="3" t="str">
        <f>IFERROR(INDEX(既製杭_map[sheet],MATCH(既製杭[[#This Row],[杭種]],既製杭_map[杭種],0)),"")</f>
        <v/>
      </c>
      <c r="V12" s="3" t="str">
        <f>IFERROR(INDEX(既製杭_map[cell],MATCH(既製杭[[#This Row],[杭種]],既製杭_map[杭種],0)),"")</f>
        <v/>
      </c>
      <c r="X12" s="5"/>
      <c r="Y12" s="5"/>
      <c r="Z12" s="5"/>
      <c r="AA12" s="3">
        <f>現場打コンクリート[[#This Row],[数量]]</f>
        <v>0</v>
      </c>
      <c r="AB12" s="3" t="str" cm="1">
        <f t="array" aca="1" ref="AB12" ca="1">IFERROR(INDEX(INDIRECT("現場打コンクリート_"&amp;X12&amp;"[sheet]"),IFERROR(MATCH(Y12,INDIRECT("現場打コンクリート_"&amp;X12&amp;"[設計基準強度]"),-1),1)),"")</f>
        <v/>
      </c>
      <c r="AC12" s="3" t="str" cm="1">
        <f t="array" aca="1" ref="AC12" ca="1">IFERROR(INDEX(INDIRECT("現場打コンクリート_"&amp;X12&amp;"[cell]"),IFERROR(MATCH(Y12,INDIRECT("現場打コンクリート_"&amp;X12&amp;"[設計基準強度]"),-1),1)),"")</f>
        <v/>
      </c>
      <c r="AE12" s="5"/>
      <c r="AF12" s="5"/>
      <c r="AG12" s="3">
        <f>PCaコンクリート_鉄筋無し[[#This Row],[数量]]</f>
        <v>0</v>
      </c>
      <c r="AH1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3" spans="1:35" x14ac:dyDescent="0.65">
      <c r="A13" s="5"/>
      <c r="B13" s="5"/>
      <c r="C13" s="6">
        <f>用途別面積[[#This Row],[床面積]]</f>
        <v>0</v>
      </c>
      <c r="D13" s="6" t="str">
        <f>IFERROR(VLOOKUP(用途別面積[[#This Row],[建物用途]],用途別面積_map[#All],2,FALSE),"")</f>
        <v/>
      </c>
      <c r="E13" s="6" t="str">
        <f>IFERROR(VLOOKUP(用途別面積[[#This Row],[建物用途]],用途別面積_map[#All],3,FALSE),"")</f>
        <v/>
      </c>
      <c r="J13" s="6">
        <f>現場打杭[[#This Row],[コンクリート数量]]</f>
        <v>0</v>
      </c>
      <c r="K13" s="3" t="str" cm="1">
        <f t="array" aca="1" ref="K13" ca="1">IFERROR(INDEX(INDIRECT("現場打杭_"&amp;G13&amp;"[sheet]"),IFERROR(MATCH(H13,INDIRECT("現場打杭_"&amp;G13&amp;"[設計基準強度]"),-1),1)),"")</f>
        <v/>
      </c>
      <c r="L13" s="3" t="str" cm="1">
        <f t="array" aca="1" ref="L13" ca="1">IFERROR(INDEX(INDIRECT("現場打杭_"&amp;G13&amp;"[cell]"),IFERROR(MATCH(H13,INDIRECT("現場打杭_"&amp;G13&amp;"[設計基準強度]"),-1),1)),"")</f>
        <v/>
      </c>
      <c r="N13" s="5"/>
      <c r="O13" s="5"/>
      <c r="P13" s="5"/>
      <c r="Q13" s="5"/>
      <c r="R13" s="5"/>
      <c r="S13" s="5"/>
      <c r="T13" s="3">
        <f>既製杭[[#This Row],[L]]/1000*既製杭[[#This Row],[員数]]</f>
        <v>0</v>
      </c>
      <c r="U13" s="3" t="str">
        <f>IFERROR(INDEX(既製杭_map[sheet],MATCH(既製杭[[#This Row],[杭種]],既製杭_map[杭種],0)),"")</f>
        <v/>
      </c>
      <c r="V13" s="3" t="str">
        <f>IFERROR(INDEX(既製杭_map[cell],MATCH(既製杭[[#This Row],[杭種]],既製杭_map[杭種],0)),"")</f>
        <v/>
      </c>
      <c r="X13" s="5"/>
      <c r="Y13" s="5"/>
      <c r="Z13" s="5"/>
      <c r="AA13" s="3">
        <f>現場打コンクリート[[#This Row],[数量]]</f>
        <v>0</v>
      </c>
      <c r="AB13" s="3" t="str" cm="1">
        <f t="array" aca="1" ref="AB13" ca="1">IFERROR(INDEX(INDIRECT("現場打コンクリート_"&amp;X13&amp;"[sheet]"),IFERROR(MATCH(Y13,INDIRECT("現場打コンクリート_"&amp;X13&amp;"[設計基準強度]"),-1),1)),"")</f>
        <v/>
      </c>
      <c r="AC13" s="3" t="str" cm="1">
        <f t="array" aca="1" ref="AC13" ca="1">IFERROR(INDEX(INDIRECT("現場打コンクリート_"&amp;X13&amp;"[cell]"),IFERROR(MATCH(Y13,INDIRECT("現場打コンクリート_"&amp;X13&amp;"[設計基準強度]"),-1),1)),"")</f>
        <v/>
      </c>
      <c r="AE13" s="5"/>
      <c r="AF13" s="5"/>
      <c r="AG13" s="3">
        <f>PCaコンクリート_鉄筋無し[[#This Row],[数量]]</f>
        <v>0</v>
      </c>
      <c r="AH1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4" spans="1:35" x14ac:dyDescent="0.65">
      <c r="A14" s="5"/>
      <c r="B14" s="5"/>
      <c r="C14" s="6">
        <f>用途別面積[[#This Row],[床面積]]</f>
        <v>0</v>
      </c>
      <c r="D14" s="6" t="str">
        <f>IFERROR(VLOOKUP(用途別面積[[#This Row],[建物用途]],用途別面積_map[#All],2,FALSE),"")</f>
        <v/>
      </c>
      <c r="E14" s="6" t="str">
        <f>IFERROR(VLOOKUP(用途別面積[[#This Row],[建物用途]],用途別面積_map[#All],3,FALSE),"")</f>
        <v/>
      </c>
      <c r="J14" s="6">
        <f>現場打杭[[#This Row],[コンクリート数量]]</f>
        <v>0</v>
      </c>
      <c r="K14" s="3" t="str" cm="1">
        <f t="array" aca="1" ref="K14" ca="1">IFERROR(INDEX(INDIRECT("現場打杭_"&amp;G14&amp;"[sheet]"),IFERROR(MATCH(H14,INDIRECT("現場打杭_"&amp;G14&amp;"[設計基準強度]"),-1),1)),"")</f>
        <v/>
      </c>
      <c r="L14" s="3" t="str" cm="1">
        <f t="array" aca="1" ref="L14" ca="1">IFERROR(INDEX(INDIRECT("現場打杭_"&amp;G14&amp;"[cell]"),IFERROR(MATCH(H14,INDIRECT("現場打杭_"&amp;G14&amp;"[設計基準強度]"),-1),1)),"")</f>
        <v/>
      </c>
      <c r="N14" s="5"/>
      <c r="O14" s="5"/>
      <c r="P14" s="5"/>
      <c r="Q14" s="5"/>
      <c r="R14" s="5"/>
      <c r="S14" s="5"/>
      <c r="T14" s="3">
        <f>既製杭[[#This Row],[L]]/1000*既製杭[[#This Row],[員数]]</f>
        <v>0</v>
      </c>
      <c r="U14" s="3" t="str">
        <f>IFERROR(INDEX(既製杭_map[sheet],MATCH(既製杭[[#This Row],[杭種]],既製杭_map[杭種],0)),"")</f>
        <v/>
      </c>
      <c r="V14" s="3" t="str">
        <f>IFERROR(INDEX(既製杭_map[cell],MATCH(既製杭[[#This Row],[杭種]],既製杭_map[杭種],0)),"")</f>
        <v/>
      </c>
      <c r="X14" s="5"/>
      <c r="Y14" s="5"/>
      <c r="Z14" s="5"/>
      <c r="AA14" s="3">
        <f>現場打コンクリート[[#This Row],[数量]]</f>
        <v>0</v>
      </c>
      <c r="AB14" s="3" t="str" cm="1">
        <f t="array" aca="1" ref="AB14" ca="1">IFERROR(INDEX(INDIRECT("現場打コンクリート_"&amp;X14&amp;"[sheet]"),IFERROR(MATCH(Y14,INDIRECT("現場打コンクリート_"&amp;X14&amp;"[設計基準強度]"),-1),1)),"")</f>
        <v/>
      </c>
      <c r="AC14" s="3" t="str" cm="1">
        <f t="array" aca="1" ref="AC14" ca="1">IFERROR(INDEX(INDIRECT("現場打コンクリート_"&amp;X14&amp;"[cell]"),IFERROR(MATCH(Y14,INDIRECT("現場打コンクリート_"&amp;X14&amp;"[設計基準強度]"),-1),1)),"")</f>
        <v/>
      </c>
      <c r="AE14" s="5"/>
      <c r="AF14" s="5"/>
      <c r="AG14" s="3">
        <f>PCaコンクリート_鉄筋無し[[#This Row],[数量]]</f>
        <v>0</v>
      </c>
      <c r="AH1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5" spans="1:35" x14ac:dyDescent="0.65">
      <c r="A15" s="5"/>
      <c r="B15" s="5"/>
      <c r="C15" s="6">
        <f>用途別面積[[#This Row],[床面積]]</f>
        <v>0</v>
      </c>
      <c r="D15" s="6" t="str">
        <f>IFERROR(VLOOKUP(用途別面積[[#This Row],[建物用途]],用途別面積_map[#All],2,FALSE),"")</f>
        <v/>
      </c>
      <c r="E15" s="6" t="str">
        <f>IFERROR(VLOOKUP(用途別面積[[#This Row],[建物用途]],用途別面積_map[#All],3,FALSE),"")</f>
        <v/>
      </c>
      <c r="J15" s="6">
        <f>現場打杭[[#This Row],[コンクリート数量]]</f>
        <v>0</v>
      </c>
      <c r="K15" s="3" t="str" cm="1">
        <f t="array" aca="1" ref="K15" ca="1">IFERROR(INDEX(INDIRECT("現場打杭_"&amp;G15&amp;"[sheet]"),IFERROR(MATCH(H15,INDIRECT("現場打杭_"&amp;G15&amp;"[設計基準強度]"),-1),1)),"")</f>
        <v/>
      </c>
      <c r="L15" s="3" t="str" cm="1">
        <f t="array" aca="1" ref="L15" ca="1">IFERROR(INDEX(INDIRECT("現場打杭_"&amp;G15&amp;"[cell]"),IFERROR(MATCH(H15,INDIRECT("現場打杭_"&amp;G15&amp;"[設計基準強度]"),-1),1)),"")</f>
        <v/>
      </c>
      <c r="N15" s="5"/>
      <c r="O15" s="5"/>
      <c r="P15" s="5"/>
      <c r="Q15" s="5"/>
      <c r="R15" s="5"/>
      <c r="S15" s="5"/>
      <c r="T15" s="3">
        <f>既製杭[[#This Row],[L]]/1000*既製杭[[#This Row],[員数]]</f>
        <v>0</v>
      </c>
      <c r="U15" s="3" t="str">
        <f>IFERROR(INDEX(既製杭_map[sheet],MATCH(既製杭[[#This Row],[杭種]],既製杭_map[杭種],0)),"")</f>
        <v/>
      </c>
      <c r="V15" s="3" t="str">
        <f>IFERROR(INDEX(既製杭_map[cell],MATCH(既製杭[[#This Row],[杭種]],既製杭_map[杭種],0)),"")</f>
        <v/>
      </c>
      <c r="X15" s="5"/>
      <c r="Y15" s="5"/>
      <c r="Z15" s="5"/>
      <c r="AA15" s="3">
        <f>現場打コンクリート[[#This Row],[数量]]</f>
        <v>0</v>
      </c>
      <c r="AB15" s="3" t="str" cm="1">
        <f t="array" aca="1" ref="AB15" ca="1">IFERROR(INDEX(INDIRECT("現場打コンクリート_"&amp;X15&amp;"[sheet]"),IFERROR(MATCH(Y15,INDIRECT("現場打コンクリート_"&amp;X15&amp;"[設計基準強度]"),-1),1)),"")</f>
        <v/>
      </c>
      <c r="AC15" s="3" t="str" cm="1">
        <f t="array" aca="1" ref="AC15" ca="1">IFERROR(INDEX(INDIRECT("現場打コンクリート_"&amp;X15&amp;"[cell]"),IFERROR(MATCH(Y15,INDIRECT("現場打コンクリート_"&amp;X15&amp;"[設計基準強度]"),-1),1)),"")</f>
        <v/>
      </c>
      <c r="AE15" s="5"/>
      <c r="AF15" s="5"/>
      <c r="AG15" s="3">
        <f>PCaコンクリート_鉄筋無し[[#This Row],[数量]]</f>
        <v>0</v>
      </c>
      <c r="AH1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6" spans="1:35" x14ac:dyDescent="0.65">
      <c r="A16" s="5"/>
      <c r="B16" s="5"/>
      <c r="C16" s="6">
        <f>用途別面積[[#This Row],[床面積]]</f>
        <v>0</v>
      </c>
      <c r="D16" s="6" t="str">
        <f>IFERROR(VLOOKUP(用途別面積[[#This Row],[建物用途]],用途別面積_map[#All],2,FALSE),"")</f>
        <v/>
      </c>
      <c r="E16" s="6" t="str">
        <f>IFERROR(VLOOKUP(用途別面積[[#This Row],[建物用途]],用途別面積_map[#All],3,FALSE),"")</f>
        <v/>
      </c>
      <c r="J16" s="6">
        <f>現場打杭[[#This Row],[コンクリート数量]]</f>
        <v>0</v>
      </c>
      <c r="K16" s="3" t="str" cm="1">
        <f t="array" aca="1" ref="K16" ca="1">IFERROR(INDEX(INDIRECT("現場打杭_"&amp;G16&amp;"[sheet]"),IFERROR(MATCH(H16,INDIRECT("現場打杭_"&amp;G16&amp;"[設計基準強度]"),-1),1)),"")</f>
        <v/>
      </c>
      <c r="L16" s="3" t="str" cm="1">
        <f t="array" aca="1" ref="L16" ca="1">IFERROR(INDEX(INDIRECT("現場打杭_"&amp;G16&amp;"[cell]"),IFERROR(MATCH(H16,INDIRECT("現場打杭_"&amp;G16&amp;"[設計基準強度]"),-1),1)),"")</f>
        <v/>
      </c>
      <c r="N16" s="5"/>
      <c r="O16" s="5"/>
      <c r="P16" s="5"/>
      <c r="Q16" s="5"/>
      <c r="R16" s="5"/>
      <c r="S16" s="5"/>
      <c r="T16" s="3">
        <f>既製杭[[#This Row],[L]]/1000*既製杭[[#This Row],[員数]]</f>
        <v>0</v>
      </c>
      <c r="U16" s="3" t="str">
        <f>IFERROR(INDEX(既製杭_map[sheet],MATCH(既製杭[[#This Row],[杭種]],既製杭_map[杭種],0)),"")</f>
        <v/>
      </c>
      <c r="V16" s="3" t="str">
        <f>IFERROR(INDEX(既製杭_map[cell],MATCH(既製杭[[#This Row],[杭種]],既製杭_map[杭種],0)),"")</f>
        <v/>
      </c>
      <c r="X16" s="5"/>
      <c r="Y16" s="5"/>
      <c r="Z16" s="5"/>
      <c r="AA16" s="3">
        <f>現場打コンクリート[[#This Row],[数量]]</f>
        <v>0</v>
      </c>
      <c r="AB16" s="3" t="str" cm="1">
        <f t="array" aca="1" ref="AB16" ca="1">IFERROR(INDEX(INDIRECT("現場打コンクリート_"&amp;X16&amp;"[sheet]"),IFERROR(MATCH(Y16,INDIRECT("現場打コンクリート_"&amp;X16&amp;"[設計基準強度]"),-1),1)),"")</f>
        <v/>
      </c>
      <c r="AC16" s="3" t="str" cm="1">
        <f t="array" aca="1" ref="AC16" ca="1">IFERROR(INDEX(INDIRECT("現場打コンクリート_"&amp;X16&amp;"[cell]"),IFERROR(MATCH(Y16,INDIRECT("現場打コンクリート_"&amp;X16&amp;"[設計基準強度]"),-1),1)),"")</f>
        <v/>
      </c>
      <c r="AE16" s="5"/>
      <c r="AF16" s="5"/>
      <c r="AG16" s="3">
        <f>PCaコンクリート_鉄筋無し[[#This Row],[数量]]</f>
        <v>0</v>
      </c>
      <c r="AH1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7" spans="1:35" x14ac:dyDescent="0.65">
      <c r="A17" s="5"/>
      <c r="B17" s="5"/>
      <c r="C17" s="6">
        <f>用途別面積[[#This Row],[床面積]]</f>
        <v>0</v>
      </c>
      <c r="D17" s="6" t="str">
        <f>IFERROR(VLOOKUP(用途別面積[[#This Row],[建物用途]],用途別面積_map[#All],2,FALSE),"")</f>
        <v/>
      </c>
      <c r="E17" s="6" t="str">
        <f>IFERROR(VLOOKUP(用途別面積[[#This Row],[建物用途]],用途別面積_map[#All],3,FALSE),"")</f>
        <v/>
      </c>
      <c r="J17" s="6">
        <f>現場打杭[[#This Row],[コンクリート数量]]</f>
        <v>0</v>
      </c>
      <c r="K17" s="3" t="str" cm="1">
        <f t="array" aca="1" ref="K17" ca="1">IFERROR(INDEX(INDIRECT("現場打杭_"&amp;G17&amp;"[sheet]"),IFERROR(MATCH(H17,INDIRECT("現場打杭_"&amp;G17&amp;"[設計基準強度]"),-1),1)),"")</f>
        <v/>
      </c>
      <c r="L17" s="3" t="str" cm="1">
        <f t="array" aca="1" ref="L17" ca="1">IFERROR(INDEX(INDIRECT("現場打杭_"&amp;G17&amp;"[cell]"),IFERROR(MATCH(H17,INDIRECT("現場打杭_"&amp;G17&amp;"[設計基準強度]"),-1),1)),"")</f>
        <v/>
      </c>
      <c r="N17" s="5"/>
      <c r="O17" s="5"/>
      <c r="P17" s="5"/>
      <c r="Q17" s="5"/>
      <c r="R17" s="5"/>
      <c r="S17" s="5"/>
      <c r="T17" s="3">
        <f>既製杭[[#This Row],[L]]/1000*既製杭[[#This Row],[員数]]</f>
        <v>0</v>
      </c>
      <c r="U17" s="3" t="str">
        <f>IFERROR(INDEX(既製杭_map[sheet],MATCH(既製杭[[#This Row],[杭種]],既製杭_map[杭種],0)),"")</f>
        <v/>
      </c>
      <c r="V17" s="3" t="str">
        <f>IFERROR(INDEX(既製杭_map[cell],MATCH(既製杭[[#This Row],[杭種]],既製杭_map[杭種],0)),"")</f>
        <v/>
      </c>
      <c r="X17" s="5"/>
      <c r="Y17" s="5"/>
      <c r="Z17" s="5"/>
      <c r="AA17" s="3">
        <f>現場打コンクリート[[#This Row],[数量]]</f>
        <v>0</v>
      </c>
      <c r="AB17" s="3" t="str" cm="1">
        <f t="array" aca="1" ref="AB17" ca="1">IFERROR(INDEX(INDIRECT("現場打コンクリート_"&amp;X17&amp;"[sheet]"),IFERROR(MATCH(Y17,INDIRECT("現場打コンクリート_"&amp;X17&amp;"[設計基準強度]"),-1),1)),"")</f>
        <v/>
      </c>
      <c r="AC17" s="3" t="str" cm="1">
        <f t="array" aca="1" ref="AC17" ca="1">IFERROR(INDEX(INDIRECT("現場打コンクリート_"&amp;X17&amp;"[cell]"),IFERROR(MATCH(Y17,INDIRECT("現場打コンクリート_"&amp;X17&amp;"[設計基準強度]"),-1),1)),"")</f>
        <v/>
      </c>
      <c r="AE17" s="5"/>
      <c r="AF17" s="5"/>
      <c r="AG17" s="3">
        <f>PCaコンクリート_鉄筋無し[[#This Row],[数量]]</f>
        <v>0</v>
      </c>
      <c r="AH1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8" spans="1:35" x14ac:dyDescent="0.65">
      <c r="A18" s="5"/>
      <c r="B18" s="5"/>
      <c r="C18" s="6">
        <f>用途別面積[[#This Row],[床面積]]</f>
        <v>0</v>
      </c>
      <c r="D18" s="6" t="str">
        <f>IFERROR(VLOOKUP(用途別面積[[#This Row],[建物用途]],用途別面積_map[#All],2,FALSE),"")</f>
        <v/>
      </c>
      <c r="E18" s="6" t="str">
        <f>IFERROR(VLOOKUP(用途別面積[[#This Row],[建物用途]],用途別面積_map[#All],3,FALSE),"")</f>
        <v/>
      </c>
      <c r="J18" s="6">
        <f>現場打杭[[#This Row],[コンクリート数量]]</f>
        <v>0</v>
      </c>
      <c r="K18" s="3" t="str" cm="1">
        <f t="array" aca="1" ref="K18" ca="1">IFERROR(INDEX(INDIRECT("現場打杭_"&amp;G18&amp;"[sheet]"),IFERROR(MATCH(H18,INDIRECT("現場打杭_"&amp;G18&amp;"[設計基準強度]"),-1),1)),"")</f>
        <v/>
      </c>
      <c r="L18" s="3" t="str" cm="1">
        <f t="array" aca="1" ref="L18" ca="1">IFERROR(INDEX(INDIRECT("現場打杭_"&amp;G18&amp;"[cell]"),IFERROR(MATCH(H18,INDIRECT("現場打杭_"&amp;G18&amp;"[設計基準強度]"),-1),1)),"")</f>
        <v/>
      </c>
      <c r="N18" s="5"/>
      <c r="O18" s="5"/>
      <c r="P18" s="5"/>
      <c r="Q18" s="5"/>
      <c r="R18" s="5"/>
      <c r="S18" s="5"/>
      <c r="T18" s="3">
        <f>既製杭[[#This Row],[L]]/1000*既製杭[[#This Row],[員数]]</f>
        <v>0</v>
      </c>
      <c r="U18" s="3" t="str">
        <f>IFERROR(INDEX(既製杭_map[sheet],MATCH(既製杭[[#This Row],[杭種]],既製杭_map[杭種],0)),"")</f>
        <v/>
      </c>
      <c r="V18" s="3" t="str">
        <f>IFERROR(INDEX(既製杭_map[cell],MATCH(既製杭[[#This Row],[杭種]],既製杭_map[杭種],0)),"")</f>
        <v/>
      </c>
      <c r="X18" s="5"/>
      <c r="Y18" s="5"/>
      <c r="Z18" s="5"/>
      <c r="AA18" s="3">
        <f>現場打コンクリート[[#This Row],[数量]]</f>
        <v>0</v>
      </c>
      <c r="AB18" s="3" t="str" cm="1">
        <f t="array" aca="1" ref="AB18" ca="1">IFERROR(INDEX(INDIRECT("現場打コンクリート_"&amp;X18&amp;"[sheet]"),IFERROR(MATCH(Y18,INDIRECT("現場打コンクリート_"&amp;X18&amp;"[設計基準強度]"),-1),1)),"")</f>
        <v/>
      </c>
      <c r="AC18" s="3" t="str" cm="1">
        <f t="array" aca="1" ref="AC18" ca="1">IFERROR(INDEX(INDIRECT("現場打コンクリート_"&amp;X18&amp;"[cell]"),IFERROR(MATCH(Y18,INDIRECT("現場打コンクリート_"&amp;X18&amp;"[設計基準強度]"),-1),1)),"")</f>
        <v/>
      </c>
      <c r="AE18" s="5"/>
      <c r="AF18" s="5"/>
      <c r="AG18" s="3">
        <f>PCaコンクリート_鉄筋無し[[#This Row],[数量]]</f>
        <v>0</v>
      </c>
      <c r="AH1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9" spans="1:35" x14ac:dyDescent="0.65">
      <c r="A19" s="5"/>
      <c r="B19" s="5"/>
      <c r="C19" s="6">
        <f>用途別面積[[#This Row],[床面積]]</f>
        <v>0</v>
      </c>
      <c r="D19" s="6" t="str">
        <f>IFERROR(VLOOKUP(用途別面積[[#This Row],[建物用途]],用途別面積_map[#All],2,FALSE),"")</f>
        <v/>
      </c>
      <c r="E19" s="6" t="str">
        <f>IFERROR(VLOOKUP(用途別面積[[#This Row],[建物用途]],用途別面積_map[#All],3,FALSE),"")</f>
        <v/>
      </c>
      <c r="J19" s="6">
        <f>現場打杭[[#This Row],[コンクリート数量]]</f>
        <v>0</v>
      </c>
      <c r="K19" s="3" t="str" cm="1">
        <f t="array" aca="1" ref="K19" ca="1">IFERROR(INDEX(INDIRECT("現場打杭_"&amp;G19&amp;"[sheet]"),IFERROR(MATCH(H19,INDIRECT("現場打杭_"&amp;G19&amp;"[設計基準強度]"),-1),1)),"")</f>
        <v/>
      </c>
      <c r="L19" s="3" t="str" cm="1">
        <f t="array" aca="1" ref="L19" ca="1">IFERROR(INDEX(INDIRECT("現場打杭_"&amp;G19&amp;"[cell]"),IFERROR(MATCH(H19,INDIRECT("現場打杭_"&amp;G19&amp;"[設計基準強度]"),-1),1)),"")</f>
        <v/>
      </c>
      <c r="N19" s="5"/>
      <c r="O19" s="5"/>
      <c r="P19" s="5"/>
      <c r="Q19" s="5"/>
      <c r="R19" s="5"/>
      <c r="S19" s="5"/>
      <c r="T19" s="3">
        <f>既製杭[[#This Row],[L]]/1000*既製杭[[#This Row],[員数]]</f>
        <v>0</v>
      </c>
      <c r="U19" s="3" t="str">
        <f>IFERROR(INDEX(既製杭_map[sheet],MATCH(既製杭[[#This Row],[杭種]],既製杭_map[杭種],0)),"")</f>
        <v/>
      </c>
      <c r="V19" s="3" t="str">
        <f>IFERROR(INDEX(既製杭_map[cell],MATCH(既製杭[[#This Row],[杭種]],既製杭_map[杭種],0)),"")</f>
        <v/>
      </c>
      <c r="X19" s="5"/>
      <c r="Y19" s="5"/>
      <c r="Z19" s="5"/>
      <c r="AA19" s="3">
        <f>現場打コンクリート[[#This Row],[数量]]</f>
        <v>0</v>
      </c>
      <c r="AB19" s="3" t="str" cm="1">
        <f t="array" aca="1" ref="AB19" ca="1">IFERROR(INDEX(INDIRECT("現場打コンクリート_"&amp;X19&amp;"[sheet]"),IFERROR(MATCH(Y19,INDIRECT("現場打コンクリート_"&amp;X19&amp;"[設計基準強度]"),-1),1)),"")</f>
        <v/>
      </c>
      <c r="AC19" s="3" t="str" cm="1">
        <f t="array" aca="1" ref="AC19" ca="1">IFERROR(INDEX(INDIRECT("現場打コンクリート_"&amp;X19&amp;"[cell]"),IFERROR(MATCH(Y19,INDIRECT("現場打コンクリート_"&amp;X19&amp;"[設計基準強度]"),-1),1)),"")</f>
        <v/>
      </c>
      <c r="AE19" s="5"/>
      <c r="AF19" s="5"/>
      <c r="AG19" s="3">
        <f>PCaコンクリート_鉄筋無し[[#This Row],[数量]]</f>
        <v>0</v>
      </c>
      <c r="AH1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0" spans="1:35" x14ac:dyDescent="0.65">
      <c r="A20" s="5"/>
      <c r="B20" s="5"/>
      <c r="C20" s="6">
        <f>用途別面積[[#This Row],[床面積]]</f>
        <v>0</v>
      </c>
      <c r="D20" s="6" t="str">
        <f>IFERROR(VLOOKUP(用途別面積[[#This Row],[建物用途]],用途別面積_map[#All],2,FALSE),"")</f>
        <v/>
      </c>
      <c r="E20" s="6" t="str">
        <f>IFERROR(VLOOKUP(用途別面積[[#This Row],[建物用途]],用途別面積_map[#All],3,FALSE),"")</f>
        <v/>
      </c>
      <c r="J20" s="6">
        <f>現場打杭[[#This Row],[コンクリート数量]]</f>
        <v>0</v>
      </c>
      <c r="K20" s="3" t="str" cm="1">
        <f t="array" aca="1" ref="K20" ca="1">IFERROR(INDEX(INDIRECT("現場打杭_"&amp;G20&amp;"[sheet]"),IFERROR(MATCH(H20,INDIRECT("現場打杭_"&amp;G20&amp;"[設計基準強度]"),-1),1)),"")</f>
        <v/>
      </c>
      <c r="L20" s="3" t="str" cm="1">
        <f t="array" aca="1" ref="L20" ca="1">IFERROR(INDEX(INDIRECT("現場打杭_"&amp;G20&amp;"[cell]"),IFERROR(MATCH(H20,INDIRECT("現場打杭_"&amp;G20&amp;"[設計基準強度]"),-1),1)),"")</f>
        <v/>
      </c>
      <c r="N20" s="5"/>
      <c r="O20" s="5"/>
      <c r="P20" s="5"/>
      <c r="Q20" s="5"/>
      <c r="R20" s="5"/>
      <c r="S20" s="5"/>
      <c r="T20" s="3">
        <f>既製杭[[#This Row],[L]]/1000*既製杭[[#This Row],[員数]]</f>
        <v>0</v>
      </c>
      <c r="U20" s="3" t="str">
        <f>IFERROR(INDEX(既製杭_map[sheet],MATCH(既製杭[[#This Row],[杭種]],既製杭_map[杭種],0)),"")</f>
        <v/>
      </c>
      <c r="V20" s="3" t="str">
        <f>IFERROR(INDEX(既製杭_map[cell],MATCH(既製杭[[#This Row],[杭種]],既製杭_map[杭種],0)),"")</f>
        <v/>
      </c>
      <c r="X20" s="5"/>
      <c r="Y20" s="5"/>
      <c r="Z20" s="5"/>
      <c r="AA20" s="3">
        <f>現場打コンクリート[[#This Row],[数量]]</f>
        <v>0</v>
      </c>
      <c r="AB20" s="3" t="str" cm="1">
        <f t="array" aca="1" ref="AB20" ca="1">IFERROR(INDEX(INDIRECT("現場打コンクリート_"&amp;X20&amp;"[sheet]"),IFERROR(MATCH(Y20,INDIRECT("現場打コンクリート_"&amp;X20&amp;"[設計基準強度]"),-1),1)),"")</f>
        <v/>
      </c>
      <c r="AC20" s="3" t="str" cm="1">
        <f t="array" aca="1" ref="AC20" ca="1">IFERROR(INDEX(INDIRECT("現場打コンクリート_"&amp;X20&amp;"[cell]"),IFERROR(MATCH(Y20,INDIRECT("現場打コンクリート_"&amp;X20&amp;"[設計基準強度]"),-1),1)),"")</f>
        <v/>
      </c>
      <c r="AE20" s="5"/>
      <c r="AF20" s="5"/>
      <c r="AG20" s="3">
        <f>PCaコンクリート_鉄筋無し[[#This Row],[数量]]</f>
        <v>0</v>
      </c>
      <c r="AH2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1" spans="1:35" x14ac:dyDescent="0.65">
      <c r="A21" s="5"/>
      <c r="B21" s="5"/>
      <c r="C21" s="6">
        <f>用途別面積[[#This Row],[床面積]]</f>
        <v>0</v>
      </c>
      <c r="D21" s="6" t="str">
        <f>IFERROR(VLOOKUP(用途別面積[[#This Row],[建物用途]],用途別面積_map[#All],2,FALSE),"")</f>
        <v/>
      </c>
      <c r="E21" s="6" t="str">
        <f>IFERROR(VLOOKUP(用途別面積[[#This Row],[建物用途]],用途別面積_map[#All],3,FALSE),"")</f>
        <v/>
      </c>
      <c r="J21" s="6">
        <f>現場打杭[[#This Row],[コンクリート数量]]</f>
        <v>0</v>
      </c>
      <c r="K21" s="3" t="str" cm="1">
        <f t="array" aca="1" ref="K21" ca="1">IFERROR(INDEX(INDIRECT("現場打杭_"&amp;G21&amp;"[sheet]"),IFERROR(MATCH(H21,INDIRECT("現場打杭_"&amp;G21&amp;"[設計基準強度]"),-1),1)),"")</f>
        <v/>
      </c>
      <c r="L21" s="3" t="str" cm="1">
        <f t="array" aca="1" ref="L21" ca="1">IFERROR(INDEX(INDIRECT("現場打杭_"&amp;G21&amp;"[cell]"),IFERROR(MATCH(H21,INDIRECT("現場打杭_"&amp;G21&amp;"[設計基準強度]"),-1),1)),"")</f>
        <v/>
      </c>
      <c r="N21" s="5"/>
      <c r="O21" s="5"/>
      <c r="P21" s="5"/>
      <c r="Q21" s="5"/>
      <c r="R21" s="5"/>
      <c r="S21" s="5"/>
      <c r="T21" s="3">
        <f>既製杭[[#This Row],[L]]/1000*既製杭[[#This Row],[員数]]</f>
        <v>0</v>
      </c>
      <c r="U21" s="3" t="str">
        <f>IFERROR(INDEX(既製杭_map[sheet],MATCH(既製杭[[#This Row],[杭種]],既製杭_map[杭種],0)),"")</f>
        <v/>
      </c>
      <c r="V21" s="3" t="str">
        <f>IFERROR(INDEX(既製杭_map[cell],MATCH(既製杭[[#This Row],[杭種]],既製杭_map[杭種],0)),"")</f>
        <v/>
      </c>
      <c r="X21" s="5"/>
      <c r="Y21" s="5"/>
      <c r="Z21" s="5"/>
      <c r="AA21" s="3">
        <f>現場打コンクリート[[#This Row],[数量]]</f>
        <v>0</v>
      </c>
      <c r="AB21" s="3" t="str" cm="1">
        <f t="array" aca="1" ref="AB21" ca="1">IFERROR(INDEX(INDIRECT("現場打コンクリート_"&amp;X21&amp;"[sheet]"),IFERROR(MATCH(Y21,INDIRECT("現場打コンクリート_"&amp;X21&amp;"[設計基準強度]"),-1),1)),"")</f>
        <v/>
      </c>
      <c r="AC21" s="3" t="str" cm="1">
        <f t="array" aca="1" ref="AC21" ca="1">IFERROR(INDEX(INDIRECT("現場打コンクリート_"&amp;X21&amp;"[cell]"),IFERROR(MATCH(Y21,INDIRECT("現場打コンクリート_"&amp;X21&amp;"[設計基準強度]"),-1),1)),"")</f>
        <v/>
      </c>
      <c r="AE21" s="5"/>
      <c r="AF21" s="5"/>
      <c r="AG21" s="3">
        <f>PCaコンクリート_鉄筋無し[[#This Row],[数量]]</f>
        <v>0</v>
      </c>
      <c r="AH2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2" spans="1:35" x14ac:dyDescent="0.65">
      <c r="A22" s="5"/>
      <c r="B22" s="5"/>
      <c r="C22" s="6">
        <f>用途別面積[[#This Row],[床面積]]</f>
        <v>0</v>
      </c>
      <c r="D22" s="6" t="str">
        <f>IFERROR(VLOOKUP(用途別面積[[#This Row],[建物用途]],用途別面積_map[#All],2,FALSE),"")</f>
        <v/>
      </c>
      <c r="E22" s="6" t="str">
        <f>IFERROR(VLOOKUP(用途別面積[[#This Row],[建物用途]],用途別面積_map[#All],3,FALSE),"")</f>
        <v/>
      </c>
      <c r="J22" s="6">
        <f>現場打杭[[#This Row],[コンクリート数量]]</f>
        <v>0</v>
      </c>
      <c r="K22" s="3" t="str" cm="1">
        <f t="array" aca="1" ref="K22" ca="1">IFERROR(INDEX(INDIRECT("現場打杭_"&amp;G22&amp;"[sheet]"),IFERROR(MATCH(H22,INDIRECT("現場打杭_"&amp;G22&amp;"[設計基準強度]"),-1),1)),"")</f>
        <v/>
      </c>
      <c r="L22" s="3" t="str" cm="1">
        <f t="array" aca="1" ref="L22" ca="1">IFERROR(INDEX(INDIRECT("現場打杭_"&amp;G22&amp;"[cell]"),IFERROR(MATCH(H22,INDIRECT("現場打杭_"&amp;G22&amp;"[設計基準強度]"),-1),1)),"")</f>
        <v/>
      </c>
      <c r="N22" s="5"/>
      <c r="O22" s="5"/>
      <c r="P22" s="5"/>
      <c r="Q22" s="5"/>
      <c r="R22" s="5"/>
      <c r="S22" s="5"/>
      <c r="T22" s="3">
        <f>既製杭[[#This Row],[L]]/1000*既製杭[[#This Row],[員数]]</f>
        <v>0</v>
      </c>
      <c r="U22" s="3" t="str">
        <f>IFERROR(INDEX(既製杭_map[sheet],MATCH(既製杭[[#This Row],[杭種]],既製杭_map[杭種],0)),"")</f>
        <v/>
      </c>
      <c r="V22" s="3" t="str">
        <f>IFERROR(INDEX(既製杭_map[cell],MATCH(既製杭[[#This Row],[杭種]],既製杭_map[杭種],0)),"")</f>
        <v/>
      </c>
      <c r="X22" s="5"/>
      <c r="Y22" s="5"/>
      <c r="Z22" s="5"/>
      <c r="AA22" s="3">
        <f>現場打コンクリート[[#This Row],[数量]]</f>
        <v>0</v>
      </c>
      <c r="AB22" s="3" t="str" cm="1">
        <f t="array" aca="1" ref="AB22" ca="1">IFERROR(INDEX(INDIRECT("現場打コンクリート_"&amp;X22&amp;"[sheet]"),IFERROR(MATCH(Y22,INDIRECT("現場打コンクリート_"&amp;X22&amp;"[設計基準強度]"),-1),1)),"")</f>
        <v/>
      </c>
      <c r="AC22" s="3" t="str" cm="1">
        <f t="array" aca="1" ref="AC22" ca="1">IFERROR(INDEX(INDIRECT("現場打コンクリート_"&amp;X22&amp;"[cell]"),IFERROR(MATCH(Y22,INDIRECT("現場打コンクリート_"&amp;X22&amp;"[設計基準強度]"),-1),1)),"")</f>
        <v/>
      </c>
      <c r="AE22" s="5"/>
      <c r="AF22" s="5"/>
      <c r="AG22" s="3">
        <f>PCaコンクリート_鉄筋無し[[#This Row],[数量]]</f>
        <v>0</v>
      </c>
      <c r="AH2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3" spans="1:35" x14ac:dyDescent="0.65">
      <c r="A23" s="5"/>
      <c r="B23" s="5"/>
      <c r="C23" s="6">
        <f>用途別面積[[#This Row],[床面積]]</f>
        <v>0</v>
      </c>
      <c r="D23" s="6" t="str">
        <f>IFERROR(VLOOKUP(用途別面積[[#This Row],[建物用途]],用途別面積_map[#All],2,FALSE),"")</f>
        <v/>
      </c>
      <c r="E23" s="6" t="str">
        <f>IFERROR(VLOOKUP(用途別面積[[#This Row],[建物用途]],用途別面積_map[#All],3,FALSE),"")</f>
        <v/>
      </c>
      <c r="J23" s="6">
        <f>現場打杭[[#This Row],[コンクリート数量]]</f>
        <v>0</v>
      </c>
      <c r="K23" s="3" t="str" cm="1">
        <f t="array" aca="1" ref="K23" ca="1">IFERROR(INDEX(INDIRECT("現場打杭_"&amp;G23&amp;"[sheet]"),IFERROR(MATCH(H23,INDIRECT("現場打杭_"&amp;G23&amp;"[設計基準強度]"),-1),1)),"")</f>
        <v/>
      </c>
      <c r="L23" s="3" t="str" cm="1">
        <f t="array" aca="1" ref="L23" ca="1">IFERROR(INDEX(INDIRECT("現場打杭_"&amp;G23&amp;"[cell]"),IFERROR(MATCH(H23,INDIRECT("現場打杭_"&amp;G23&amp;"[設計基準強度]"),-1),1)),"")</f>
        <v/>
      </c>
      <c r="N23" s="5"/>
      <c r="O23" s="5"/>
      <c r="P23" s="5"/>
      <c r="Q23" s="5"/>
      <c r="R23" s="5"/>
      <c r="S23" s="5"/>
      <c r="T23" s="3">
        <f>既製杭[[#This Row],[L]]/1000*既製杭[[#This Row],[員数]]</f>
        <v>0</v>
      </c>
      <c r="U23" s="3" t="str">
        <f>IFERROR(INDEX(既製杭_map[sheet],MATCH(既製杭[[#This Row],[杭種]],既製杭_map[杭種],0)),"")</f>
        <v/>
      </c>
      <c r="V23" s="3" t="str">
        <f>IFERROR(INDEX(既製杭_map[cell],MATCH(既製杭[[#This Row],[杭種]],既製杭_map[杭種],0)),"")</f>
        <v/>
      </c>
      <c r="X23" s="5"/>
      <c r="Y23" s="5"/>
      <c r="Z23" s="5"/>
      <c r="AA23" s="3">
        <f>現場打コンクリート[[#This Row],[数量]]</f>
        <v>0</v>
      </c>
      <c r="AB23" s="3" t="str" cm="1">
        <f t="array" aca="1" ref="AB23" ca="1">IFERROR(INDEX(INDIRECT("現場打コンクリート_"&amp;X23&amp;"[sheet]"),IFERROR(MATCH(Y23,INDIRECT("現場打コンクリート_"&amp;X23&amp;"[設計基準強度]"),-1),1)),"")</f>
        <v/>
      </c>
      <c r="AC23" s="3" t="str" cm="1">
        <f t="array" aca="1" ref="AC23" ca="1">IFERROR(INDEX(INDIRECT("現場打コンクリート_"&amp;X23&amp;"[cell]"),IFERROR(MATCH(Y23,INDIRECT("現場打コンクリート_"&amp;X23&amp;"[設計基準強度]"),-1),1)),"")</f>
        <v/>
      </c>
      <c r="AE23" s="5"/>
      <c r="AF23" s="5"/>
      <c r="AG23" s="3">
        <f>PCaコンクリート_鉄筋無し[[#This Row],[数量]]</f>
        <v>0</v>
      </c>
      <c r="AH2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4" spans="1:35" x14ac:dyDescent="0.65">
      <c r="A24" s="5"/>
      <c r="B24" s="5"/>
      <c r="C24" s="6">
        <f>用途別面積[[#This Row],[床面積]]</f>
        <v>0</v>
      </c>
      <c r="D24" s="6" t="str">
        <f>IFERROR(VLOOKUP(用途別面積[[#This Row],[建物用途]],用途別面積_map[#All],2,FALSE),"")</f>
        <v/>
      </c>
      <c r="E24" s="6" t="str">
        <f>IFERROR(VLOOKUP(用途別面積[[#This Row],[建物用途]],用途別面積_map[#All],3,FALSE),"")</f>
        <v/>
      </c>
      <c r="J24" s="6">
        <f>現場打杭[[#This Row],[コンクリート数量]]</f>
        <v>0</v>
      </c>
      <c r="K24" s="3" t="str" cm="1">
        <f t="array" aca="1" ref="K24" ca="1">IFERROR(INDEX(INDIRECT("現場打杭_"&amp;G24&amp;"[sheet]"),IFERROR(MATCH(H24,INDIRECT("現場打杭_"&amp;G24&amp;"[設計基準強度]"),-1),1)),"")</f>
        <v/>
      </c>
      <c r="L24" s="3" t="str" cm="1">
        <f t="array" aca="1" ref="L24" ca="1">IFERROR(INDEX(INDIRECT("現場打杭_"&amp;G24&amp;"[cell]"),IFERROR(MATCH(H24,INDIRECT("現場打杭_"&amp;G24&amp;"[設計基準強度]"),-1),1)),"")</f>
        <v/>
      </c>
      <c r="N24" s="5"/>
      <c r="O24" s="5"/>
      <c r="P24" s="5"/>
      <c r="Q24" s="5"/>
      <c r="R24" s="5"/>
      <c r="S24" s="5"/>
      <c r="T24" s="3">
        <f>既製杭[[#This Row],[L]]/1000*既製杭[[#This Row],[員数]]</f>
        <v>0</v>
      </c>
      <c r="U24" s="3" t="str">
        <f>IFERROR(INDEX(既製杭_map[sheet],MATCH(既製杭[[#This Row],[杭種]],既製杭_map[杭種],0)),"")</f>
        <v/>
      </c>
      <c r="V24" s="3" t="str">
        <f>IFERROR(INDEX(既製杭_map[cell],MATCH(既製杭[[#This Row],[杭種]],既製杭_map[杭種],0)),"")</f>
        <v/>
      </c>
      <c r="X24" s="5"/>
      <c r="Y24" s="5"/>
      <c r="Z24" s="5"/>
      <c r="AA24" s="3">
        <f>現場打コンクリート[[#This Row],[数量]]</f>
        <v>0</v>
      </c>
      <c r="AB24" s="3" t="str" cm="1">
        <f t="array" aca="1" ref="AB24" ca="1">IFERROR(INDEX(INDIRECT("現場打コンクリート_"&amp;X24&amp;"[sheet]"),IFERROR(MATCH(Y24,INDIRECT("現場打コンクリート_"&amp;X24&amp;"[設計基準強度]"),-1),1)),"")</f>
        <v/>
      </c>
      <c r="AC24" s="3" t="str" cm="1">
        <f t="array" aca="1" ref="AC24" ca="1">IFERROR(INDEX(INDIRECT("現場打コンクリート_"&amp;X24&amp;"[cell]"),IFERROR(MATCH(Y24,INDIRECT("現場打コンクリート_"&amp;X24&amp;"[設計基準強度]"),-1),1)),"")</f>
        <v/>
      </c>
      <c r="AE24" s="5"/>
      <c r="AF24" s="5"/>
      <c r="AG24" s="3">
        <f>PCaコンクリート_鉄筋無し[[#This Row],[数量]]</f>
        <v>0</v>
      </c>
      <c r="AH2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5" spans="1:35" x14ac:dyDescent="0.65">
      <c r="A25" s="5"/>
      <c r="B25" s="5"/>
      <c r="C25" s="6">
        <f>用途別面積[[#This Row],[床面積]]</f>
        <v>0</v>
      </c>
      <c r="D25" s="6" t="str">
        <f>IFERROR(VLOOKUP(用途別面積[[#This Row],[建物用途]],用途別面積_map[#All],2,FALSE),"")</f>
        <v/>
      </c>
      <c r="E25" s="6" t="str">
        <f>IFERROR(VLOOKUP(用途別面積[[#This Row],[建物用途]],用途別面積_map[#All],3,FALSE),"")</f>
        <v/>
      </c>
      <c r="J25" s="6">
        <f>現場打杭[[#This Row],[コンクリート数量]]</f>
        <v>0</v>
      </c>
      <c r="K25" s="3" t="str" cm="1">
        <f t="array" aca="1" ref="K25" ca="1">IFERROR(INDEX(INDIRECT("現場打杭_"&amp;G25&amp;"[sheet]"),IFERROR(MATCH(H25,INDIRECT("現場打杭_"&amp;G25&amp;"[設計基準強度]"),-1),1)),"")</f>
        <v/>
      </c>
      <c r="L25" s="3" t="str" cm="1">
        <f t="array" aca="1" ref="L25" ca="1">IFERROR(INDEX(INDIRECT("現場打杭_"&amp;G25&amp;"[cell]"),IFERROR(MATCH(H25,INDIRECT("現場打杭_"&amp;G25&amp;"[設計基準強度]"),-1),1)),"")</f>
        <v/>
      </c>
      <c r="N25" s="5"/>
      <c r="O25" s="5"/>
      <c r="P25" s="5"/>
      <c r="Q25" s="5"/>
      <c r="R25" s="5"/>
      <c r="S25" s="5"/>
      <c r="T25" s="3">
        <f>既製杭[[#This Row],[L]]/1000*既製杭[[#This Row],[員数]]</f>
        <v>0</v>
      </c>
      <c r="U25" s="3" t="str">
        <f>IFERROR(INDEX(既製杭_map[sheet],MATCH(既製杭[[#This Row],[杭種]],既製杭_map[杭種],0)),"")</f>
        <v/>
      </c>
      <c r="V25" s="3" t="str">
        <f>IFERROR(INDEX(既製杭_map[cell],MATCH(既製杭[[#This Row],[杭種]],既製杭_map[杭種],0)),"")</f>
        <v/>
      </c>
      <c r="X25" s="5"/>
      <c r="Y25" s="5"/>
      <c r="Z25" s="5"/>
      <c r="AA25" s="3">
        <f>現場打コンクリート[[#This Row],[数量]]</f>
        <v>0</v>
      </c>
      <c r="AB25" s="3" t="str" cm="1">
        <f t="array" aca="1" ref="AB25" ca="1">IFERROR(INDEX(INDIRECT("現場打コンクリート_"&amp;X25&amp;"[sheet]"),IFERROR(MATCH(Y25,INDIRECT("現場打コンクリート_"&amp;X25&amp;"[設計基準強度]"),-1),1)),"")</f>
        <v/>
      </c>
      <c r="AC25" s="3" t="str" cm="1">
        <f t="array" aca="1" ref="AC25" ca="1">IFERROR(INDEX(INDIRECT("現場打コンクリート_"&amp;X25&amp;"[cell]"),IFERROR(MATCH(Y25,INDIRECT("現場打コンクリート_"&amp;X25&amp;"[設計基準強度]"),-1),1)),"")</f>
        <v/>
      </c>
      <c r="AE25" s="5"/>
      <c r="AF25" s="5"/>
      <c r="AG25" s="3">
        <f>PCaコンクリート_鉄筋無し[[#This Row],[数量]]</f>
        <v>0</v>
      </c>
      <c r="AH2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6" spans="1:35" x14ac:dyDescent="0.65">
      <c r="A26" s="5"/>
      <c r="B26" s="5"/>
      <c r="C26" s="6">
        <f>用途別面積[[#This Row],[床面積]]</f>
        <v>0</v>
      </c>
      <c r="D26" s="6" t="str">
        <f>IFERROR(VLOOKUP(用途別面積[[#This Row],[建物用途]],用途別面積_map[#All],2,FALSE),"")</f>
        <v/>
      </c>
      <c r="E26" s="6" t="str">
        <f>IFERROR(VLOOKUP(用途別面積[[#This Row],[建物用途]],用途別面積_map[#All],3,FALSE),"")</f>
        <v/>
      </c>
      <c r="J26" s="6">
        <f>現場打杭[[#This Row],[コンクリート数量]]</f>
        <v>0</v>
      </c>
      <c r="K26" s="3" t="str" cm="1">
        <f t="array" aca="1" ref="K26" ca="1">IFERROR(INDEX(INDIRECT("現場打杭_"&amp;G26&amp;"[sheet]"),IFERROR(MATCH(H26,INDIRECT("現場打杭_"&amp;G26&amp;"[設計基準強度]"),-1),1)),"")</f>
        <v/>
      </c>
      <c r="L26" s="3" t="str" cm="1">
        <f t="array" aca="1" ref="L26" ca="1">IFERROR(INDEX(INDIRECT("現場打杭_"&amp;G26&amp;"[cell]"),IFERROR(MATCH(H26,INDIRECT("現場打杭_"&amp;G26&amp;"[設計基準強度]"),-1),1)),"")</f>
        <v/>
      </c>
      <c r="N26" s="5"/>
      <c r="O26" s="5"/>
      <c r="P26" s="5"/>
      <c r="Q26" s="5"/>
      <c r="R26" s="5"/>
      <c r="S26" s="5"/>
      <c r="T26" s="3">
        <f>既製杭[[#This Row],[L]]/1000*既製杭[[#This Row],[員数]]</f>
        <v>0</v>
      </c>
      <c r="U26" s="3" t="str">
        <f>IFERROR(INDEX(既製杭_map[sheet],MATCH(既製杭[[#This Row],[杭種]],既製杭_map[杭種],0)),"")</f>
        <v/>
      </c>
      <c r="V26" s="3" t="str">
        <f>IFERROR(INDEX(既製杭_map[cell],MATCH(既製杭[[#This Row],[杭種]],既製杭_map[杭種],0)),"")</f>
        <v/>
      </c>
      <c r="X26" s="5"/>
      <c r="Y26" s="5"/>
      <c r="Z26" s="5"/>
      <c r="AA26" s="3">
        <f>現場打コンクリート[[#This Row],[数量]]</f>
        <v>0</v>
      </c>
      <c r="AB26" s="3" t="str" cm="1">
        <f t="array" aca="1" ref="AB26" ca="1">IFERROR(INDEX(INDIRECT("現場打コンクリート_"&amp;X26&amp;"[sheet]"),IFERROR(MATCH(Y26,INDIRECT("現場打コンクリート_"&amp;X26&amp;"[設計基準強度]"),-1),1)),"")</f>
        <v/>
      </c>
      <c r="AC26" s="3" t="str" cm="1">
        <f t="array" aca="1" ref="AC26" ca="1">IFERROR(INDEX(INDIRECT("現場打コンクリート_"&amp;X26&amp;"[cell]"),IFERROR(MATCH(Y26,INDIRECT("現場打コンクリート_"&amp;X26&amp;"[設計基準強度]"),-1),1)),"")</f>
        <v/>
      </c>
      <c r="AE26" s="5"/>
      <c r="AF26" s="5"/>
      <c r="AG26" s="3">
        <f>PCaコンクリート_鉄筋無し[[#This Row],[数量]]</f>
        <v>0</v>
      </c>
      <c r="AH2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7" spans="1:35" x14ac:dyDescent="0.65">
      <c r="A27" s="5"/>
      <c r="B27" s="5"/>
      <c r="C27" s="6">
        <f>用途別面積[[#This Row],[床面積]]</f>
        <v>0</v>
      </c>
      <c r="D27" s="6" t="str">
        <f>IFERROR(VLOOKUP(用途別面積[[#This Row],[建物用途]],用途別面積_map[#All],2,FALSE),"")</f>
        <v/>
      </c>
      <c r="E27" s="6" t="str">
        <f>IFERROR(VLOOKUP(用途別面積[[#This Row],[建物用途]],用途別面積_map[#All],3,FALSE),"")</f>
        <v/>
      </c>
      <c r="J27" s="6">
        <f>現場打杭[[#This Row],[コンクリート数量]]</f>
        <v>0</v>
      </c>
      <c r="K27" s="3" t="str" cm="1">
        <f t="array" aca="1" ref="K27" ca="1">IFERROR(INDEX(INDIRECT("現場打杭_"&amp;G27&amp;"[sheet]"),IFERROR(MATCH(H27,INDIRECT("現場打杭_"&amp;G27&amp;"[設計基準強度]"),-1),1)),"")</f>
        <v/>
      </c>
      <c r="L27" s="3" t="str" cm="1">
        <f t="array" aca="1" ref="L27" ca="1">IFERROR(INDEX(INDIRECT("現場打杭_"&amp;G27&amp;"[cell]"),IFERROR(MATCH(H27,INDIRECT("現場打杭_"&amp;G27&amp;"[設計基準強度]"),-1),1)),"")</f>
        <v/>
      </c>
      <c r="N27" s="5"/>
      <c r="O27" s="5"/>
      <c r="P27" s="5"/>
      <c r="Q27" s="5"/>
      <c r="R27" s="5"/>
      <c r="S27" s="5"/>
      <c r="T27" s="3">
        <f>既製杭[[#This Row],[L]]/1000*既製杭[[#This Row],[員数]]</f>
        <v>0</v>
      </c>
      <c r="U27" s="3" t="str">
        <f>IFERROR(INDEX(既製杭_map[sheet],MATCH(既製杭[[#This Row],[杭種]],既製杭_map[杭種],0)),"")</f>
        <v/>
      </c>
      <c r="V27" s="3" t="str">
        <f>IFERROR(INDEX(既製杭_map[cell],MATCH(既製杭[[#This Row],[杭種]],既製杭_map[杭種],0)),"")</f>
        <v/>
      </c>
      <c r="X27" s="5"/>
      <c r="Y27" s="5"/>
      <c r="Z27" s="5"/>
      <c r="AA27" s="3">
        <f>現場打コンクリート[[#This Row],[数量]]</f>
        <v>0</v>
      </c>
      <c r="AB27" s="3" t="str" cm="1">
        <f t="array" aca="1" ref="AB27" ca="1">IFERROR(INDEX(INDIRECT("現場打コンクリート_"&amp;X27&amp;"[sheet]"),IFERROR(MATCH(Y27,INDIRECT("現場打コンクリート_"&amp;X27&amp;"[設計基準強度]"),-1),1)),"")</f>
        <v/>
      </c>
      <c r="AC27" s="3" t="str" cm="1">
        <f t="array" aca="1" ref="AC27" ca="1">IFERROR(INDEX(INDIRECT("現場打コンクリート_"&amp;X27&amp;"[cell]"),IFERROR(MATCH(Y27,INDIRECT("現場打コンクリート_"&amp;X27&amp;"[設計基準強度]"),-1),1)),"")</f>
        <v/>
      </c>
      <c r="AE27" s="5"/>
      <c r="AF27" s="5"/>
      <c r="AG27" s="3">
        <f>PCaコンクリート_鉄筋無し[[#This Row],[数量]]</f>
        <v>0</v>
      </c>
      <c r="AH2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8" spans="1:35" x14ac:dyDescent="0.65">
      <c r="A28" s="5"/>
      <c r="B28" s="5"/>
      <c r="C28" s="6">
        <f>用途別面積[[#This Row],[床面積]]</f>
        <v>0</v>
      </c>
      <c r="D28" s="6" t="str">
        <f>IFERROR(VLOOKUP(用途別面積[[#This Row],[建物用途]],用途別面積_map[#All],2,FALSE),"")</f>
        <v/>
      </c>
      <c r="E28" s="6" t="str">
        <f>IFERROR(VLOOKUP(用途別面積[[#This Row],[建物用途]],用途別面積_map[#All],3,FALSE),"")</f>
        <v/>
      </c>
      <c r="J28" s="6">
        <f>現場打杭[[#This Row],[コンクリート数量]]</f>
        <v>0</v>
      </c>
      <c r="K28" s="3" t="str" cm="1">
        <f t="array" aca="1" ref="K28" ca="1">IFERROR(INDEX(INDIRECT("現場打杭_"&amp;G28&amp;"[sheet]"),IFERROR(MATCH(H28,INDIRECT("現場打杭_"&amp;G28&amp;"[設計基準強度]"),-1),1)),"")</f>
        <v/>
      </c>
      <c r="L28" s="3" t="str" cm="1">
        <f t="array" aca="1" ref="L28" ca="1">IFERROR(INDEX(INDIRECT("現場打杭_"&amp;G28&amp;"[cell]"),IFERROR(MATCH(H28,INDIRECT("現場打杭_"&amp;G28&amp;"[設計基準強度]"),-1),1)),"")</f>
        <v/>
      </c>
      <c r="N28" s="5"/>
      <c r="O28" s="5"/>
      <c r="P28" s="5"/>
      <c r="Q28" s="5"/>
      <c r="R28" s="5"/>
      <c r="S28" s="5"/>
      <c r="T28" s="3">
        <f>既製杭[[#This Row],[L]]/1000*既製杭[[#This Row],[員数]]</f>
        <v>0</v>
      </c>
      <c r="U28" s="3" t="str">
        <f>IFERROR(INDEX(既製杭_map[sheet],MATCH(既製杭[[#This Row],[杭種]],既製杭_map[杭種],0)),"")</f>
        <v/>
      </c>
      <c r="V28" s="3" t="str">
        <f>IFERROR(INDEX(既製杭_map[cell],MATCH(既製杭[[#This Row],[杭種]],既製杭_map[杭種],0)),"")</f>
        <v/>
      </c>
      <c r="X28" s="5"/>
      <c r="Y28" s="5"/>
      <c r="Z28" s="5"/>
      <c r="AA28" s="3">
        <f>現場打コンクリート[[#This Row],[数量]]</f>
        <v>0</v>
      </c>
      <c r="AB28" s="3" t="str" cm="1">
        <f t="array" aca="1" ref="AB28" ca="1">IFERROR(INDEX(INDIRECT("現場打コンクリート_"&amp;X28&amp;"[sheet]"),IFERROR(MATCH(Y28,INDIRECT("現場打コンクリート_"&amp;X28&amp;"[設計基準強度]"),-1),1)),"")</f>
        <v/>
      </c>
      <c r="AC28" s="3" t="str" cm="1">
        <f t="array" aca="1" ref="AC28" ca="1">IFERROR(INDEX(INDIRECT("現場打コンクリート_"&amp;X28&amp;"[cell]"),IFERROR(MATCH(Y28,INDIRECT("現場打コンクリート_"&amp;X28&amp;"[設計基準強度]"),-1),1)),"")</f>
        <v/>
      </c>
      <c r="AE28" s="5"/>
      <c r="AF28" s="5"/>
      <c r="AG28" s="3">
        <f>PCaコンクリート_鉄筋無し[[#This Row],[数量]]</f>
        <v>0</v>
      </c>
      <c r="AH2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9" spans="1:35" x14ac:dyDescent="0.65">
      <c r="A29" s="5"/>
      <c r="B29" s="5"/>
      <c r="C29" s="6">
        <f>用途別面積[[#This Row],[床面積]]</f>
        <v>0</v>
      </c>
      <c r="D29" s="6" t="str">
        <f>IFERROR(VLOOKUP(用途別面積[[#This Row],[建物用途]],用途別面積_map[#All],2,FALSE),"")</f>
        <v/>
      </c>
      <c r="E29" s="6" t="str">
        <f>IFERROR(VLOOKUP(用途別面積[[#This Row],[建物用途]],用途別面積_map[#All],3,FALSE),"")</f>
        <v/>
      </c>
      <c r="J29" s="6">
        <f>現場打杭[[#This Row],[コンクリート数量]]</f>
        <v>0</v>
      </c>
      <c r="K29" s="3" t="str" cm="1">
        <f t="array" aca="1" ref="K29" ca="1">IFERROR(INDEX(INDIRECT("現場打杭_"&amp;G29&amp;"[sheet]"),IFERROR(MATCH(H29,INDIRECT("現場打杭_"&amp;G29&amp;"[設計基準強度]"),-1),1)),"")</f>
        <v/>
      </c>
      <c r="L29" s="3" t="str" cm="1">
        <f t="array" aca="1" ref="L29" ca="1">IFERROR(INDEX(INDIRECT("現場打杭_"&amp;G29&amp;"[cell]"),IFERROR(MATCH(H29,INDIRECT("現場打杭_"&amp;G29&amp;"[設計基準強度]"),-1),1)),"")</f>
        <v/>
      </c>
      <c r="N29" s="5"/>
      <c r="O29" s="5"/>
      <c r="P29" s="5"/>
      <c r="Q29" s="5"/>
      <c r="R29" s="5"/>
      <c r="S29" s="5"/>
      <c r="T29" s="3">
        <f>既製杭[[#This Row],[L]]/1000*既製杭[[#This Row],[員数]]</f>
        <v>0</v>
      </c>
      <c r="U29" s="3" t="str">
        <f>IFERROR(INDEX(既製杭_map[sheet],MATCH(既製杭[[#This Row],[杭種]],既製杭_map[杭種],0)),"")</f>
        <v/>
      </c>
      <c r="V29" s="3" t="str">
        <f>IFERROR(INDEX(既製杭_map[cell],MATCH(既製杭[[#This Row],[杭種]],既製杭_map[杭種],0)),"")</f>
        <v/>
      </c>
      <c r="X29" s="5"/>
      <c r="Y29" s="5"/>
      <c r="Z29" s="5"/>
      <c r="AA29" s="3">
        <f>現場打コンクリート[[#This Row],[数量]]</f>
        <v>0</v>
      </c>
      <c r="AB29" s="3" t="str" cm="1">
        <f t="array" aca="1" ref="AB29" ca="1">IFERROR(INDEX(INDIRECT("現場打コンクリート_"&amp;X29&amp;"[sheet]"),IFERROR(MATCH(Y29,INDIRECT("現場打コンクリート_"&amp;X29&amp;"[設計基準強度]"),-1),1)),"")</f>
        <v/>
      </c>
      <c r="AC29" s="3" t="str" cm="1">
        <f t="array" aca="1" ref="AC29" ca="1">IFERROR(INDEX(INDIRECT("現場打コンクリート_"&amp;X29&amp;"[cell]"),IFERROR(MATCH(Y29,INDIRECT("現場打コンクリート_"&amp;X29&amp;"[設計基準強度]"),-1),1)),"")</f>
        <v/>
      </c>
      <c r="AE29" s="5"/>
      <c r="AF29" s="5"/>
      <c r="AG29" s="3">
        <f>PCaコンクリート_鉄筋無し[[#This Row],[数量]]</f>
        <v>0</v>
      </c>
      <c r="AH2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0" spans="1:35" x14ac:dyDescent="0.65">
      <c r="A30" s="5"/>
      <c r="B30" s="5"/>
      <c r="C30" s="6">
        <f>用途別面積[[#This Row],[床面積]]</f>
        <v>0</v>
      </c>
      <c r="D30" s="6" t="str">
        <f>IFERROR(VLOOKUP(用途別面積[[#This Row],[建物用途]],用途別面積_map[#All],2,FALSE),"")</f>
        <v/>
      </c>
      <c r="E30" s="6" t="str">
        <f>IFERROR(VLOOKUP(用途別面積[[#This Row],[建物用途]],用途別面積_map[#All],3,FALSE),"")</f>
        <v/>
      </c>
      <c r="J30" s="6">
        <f>現場打杭[[#This Row],[コンクリート数量]]</f>
        <v>0</v>
      </c>
      <c r="K30" s="3" t="str" cm="1">
        <f t="array" aca="1" ref="K30" ca="1">IFERROR(INDEX(INDIRECT("現場打杭_"&amp;G30&amp;"[sheet]"),IFERROR(MATCH(H30,INDIRECT("現場打杭_"&amp;G30&amp;"[設計基準強度]"),-1),1)),"")</f>
        <v/>
      </c>
      <c r="L30" s="3" t="str" cm="1">
        <f t="array" aca="1" ref="L30" ca="1">IFERROR(INDEX(INDIRECT("現場打杭_"&amp;G30&amp;"[cell]"),IFERROR(MATCH(H30,INDIRECT("現場打杭_"&amp;G30&amp;"[設計基準強度]"),-1),1)),"")</f>
        <v/>
      </c>
      <c r="N30" s="5"/>
      <c r="O30" s="5"/>
      <c r="P30" s="5"/>
      <c r="Q30" s="5"/>
      <c r="R30" s="5"/>
      <c r="S30" s="5"/>
      <c r="T30" s="3">
        <f>既製杭[[#This Row],[L]]/1000*既製杭[[#This Row],[員数]]</f>
        <v>0</v>
      </c>
      <c r="U30" s="3" t="str">
        <f>IFERROR(INDEX(既製杭_map[sheet],MATCH(既製杭[[#This Row],[杭種]],既製杭_map[杭種],0)),"")</f>
        <v/>
      </c>
      <c r="V30" s="3" t="str">
        <f>IFERROR(INDEX(既製杭_map[cell],MATCH(既製杭[[#This Row],[杭種]],既製杭_map[杭種],0)),"")</f>
        <v/>
      </c>
      <c r="X30" s="5"/>
      <c r="Y30" s="5"/>
      <c r="Z30" s="5"/>
      <c r="AA30" s="3">
        <f>現場打コンクリート[[#This Row],[数量]]</f>
        <v>0</v>
      </c>
      <c r="AB30" s="3" t="str" cm="1">
        <f t="array" aca="1" ref="AB30" ca="1">IFERROR(INDEX(INDIRECT("現場打コンクリート_"&amp;X30&amp;"[sheet]"),IFERROR(MATCH(Y30,INDIRECT("現場打コンクリート_"&amp;X30&amp;"[設計基準強度]"),-1),1)),"")</f>
        <v/>
      </c>
      <c r="AC30" s="3" t="str" cm="1">
        <f t="array" aca="1" ref="AC30" ca="1">IFERROR(INDEX(INDIRECT("現場打コンクリート_"&amp;X30&amp;"[cell]"),IFERROR(MATCH(Y30,INDIRECT("現場打コンクリート_"&amp;X30&amp;"[設計基準強度]"),-1),1)),"")</f>
        <v/>
      </c>
      <c r="AE30" s="5"/>
      <c r="AF30" s="5"/>
      <c r="AG30" s="3">
        <f>PCaコンクリート_鉄筋無し[[#This Row],[数量]]</f>
        <v>0</v>
      </c>
      <c r="AH3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1" spans="1:35" x14ac:dyDescent="0.65">
      <c r="A31" s="5"/>
      <c r="B31" s="5"/>
      <c r="C31" s="6">
        <f>用途別面積[[#This Row],[床面積]]</f>
        <v>0</v>
      </c>
      <c r="D31" s="6" t="str">
        <f>IFERROR(VLOOKUP(用途別面積[[#This Row],[建物用途]],用途別面積_map[#All],2,FALSE),"")</f>
        <v/>
      </c>
      <c r="E31" s="6" t="str">
        <f>IFERROR(VLOOKUP(用途別面積[[#This Row],[建物用途]],用途別面積_map[#All],3,FALSE),"")</f>
        <v/>
      </c>
      <c r="J31" s="6">
        <f>現場打杭[[#This Row],[コンクリート数量]]</f>
        <v>0</v>
      </c>
      <c r="K31" s="3" t="str" cm="1">
        <f t="array" aca="1" ref="K31" ca="1">IFERROR(INDEX(INDIRECT("現場打杭_"&amp;G31&amp;"[sheet]"),IFERROR(MATCH(H31,INDIRECT("現場打杭_"&amp;G31&amp;"[設計基準強度]"),-1),1)),"")</f>
        <v/>
      </c>
      <c r="L31" s="3" t="str" cm="1">
        <f t="array" aca="1" ref="L31" ca="1">IFERROR(INDEX(INDIRECT("現場打杭_"&amp;G31&amp;"[cell]"),IFERROR(MATCH(H31,INDIRECT("現場打杭_"&amp;G31&amp;"[設計基準強度]"),-1),1)),"")</f>
        <v/>
      </c>
      <c r="N31" s="5"/>
      <c r="O31" s="5"/>
      <c r="P31" s="5"/>
      <c r="Q31" s="5"/>
      <c r="R31" s="5"/>
      <c r="S31" s="5"/>
      <c r="T31" s="3">
        <f>既製杭[[#This Row],[L]]/1000*既製杭[[#This Row],[員数]]</f>
        <v>0</v>
      </c>
      <c r="U31" s="3" t="str">
        <f>IFERROR(INDEX(既製杭_map[sheet],MATCH(既製杭[[#This Row],[杭種]],既製杭_map[杭種],0)),"")</f>
        <v/>
      </c>
      <c r="V31" s="3" t="str">
        <f>IFERROR(INDEX(既製杭_map[cell],MATCH(既製杭[[#This Row],[杭種]],既製杭_map[杭種],0)),"")</f>
        <v/>
      </c>
      <c r="X31" s="5"/>
      <c r="Y31" s="5"/>
      <c r="Z31" s="5"/>
      <c r="AA31" s="3">
        <f>現場打コンクリート[[#This Row],[数量]]</f>
        <v>0</v>
      </c>
      <c r="AB31" s="3" t="str" cm="1">
        <f t="array" aca="1" ref="AB31" ca="1">IFERROR(INDEX(INDIRECT("現場打コンクリート_"&amp;X31&amp;"[sheet]"),IFERROR(MATCH(Y31,INDIRECT("現場打コンクリート_"&amp;X31&amp;"[設計基準強度]"),-1),1)),"")</f>
        <v/>
      </c>
      <c r="AC31" s="3" t="str" cm="1">
        <f t="array" aca="1" ref="AC31" ca="1">IFERROR(INDEX(INDIRECT("現場打コンクリート_"&amp;X31&amp;"[cell]"),IFERROR(MATCH(Y31,INDIRECT("現場打コンクリート_"&amp;X31&amp;"[設計基準強度]"),-1),1)),"")</f>
        <v/>
      </c>
      <c r="AE31" s="5"/>
      <c r="AF31" s="5"/>
      <c r="AG31" s="3">
        <f>PCaコンクリート_鉄筋無し[[#This Row],[数量]]</f>
        <v>0</v>
      </c>
      <c r="AH3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2" spans="1:35" x14ac:dyDescent="0.65">
      <c r="A32" s="5"/>
      <c r="B32" s="5"/>
      <c r="C32" s="6">
        <f>用途別面積[[#This Row],[床面積]]</f>
        <v>0</v>
      </c>
      <c r="D32" s="6" t="str">
        <f>IFERROR(VLOOKUP(用途別面積[[#This Row],[建物用途]],用途別面積_map[#All],2,FALSE),"")</f>
        <v/>
      </c>
      <c r="E32" s="6" t="str">
        <f>IFERROR(VLOOKUP(用途別面積[[#This Row],[建物用途]],用途別面積_map[#All],3,FALSE),"")</f>
        <v/>
      </c>
      <c r="J32" s="6">
        <f>現場打杭[[#This Row],[コンクリート数量]]</f>
        <v>0</v>
      </c>
      <c r="K32" s="3" t="str" cm="1">
        <f t="array" aca="1" ref="K32" ca="1">IFERROR(INDEX(INDIRECT("現場打杭_"&amp;G32&amp;"[sheet]"),IFERROR(MATCH(H32,INDIRECT("現場打杭_"&amp;G32&amp;"[設計基準強度]"),-1),1)),"")</f>
        <v/>
      </c>
      <c r="L32" s="3" t="str" cm="1">
        <f t="array" aca="1" ref="L32" ca="1">IFERROR(INDEX(INDIRECT("現場打杭_"&amp;G32&amp;"[cell]"),IFERROR(MATCH(H32,INDIRECT("現場打杭_"&amp;G32&amp;"[設計基準強度]"),-1),1)),"")</f>
        <v/>
      </c>
      <c r="N32" s="5"/>
      <c r="O32" s="5"/>
      <c r="P32" s="5"/>
      <c r="Q32" s="5"/>
      <c r="R32" s="5"/>
      <c r="S32" s="5"/>
      <c r="T32" s="3">
        <f>既製杭[[#This Row],[L]]/1000*既製杭[[#This Row],[員数]]</f>
        <v>0</v>
      </c>
      <c r="U32" s="3" t="str">
        <f>IFERROR(INDEX(既製杭_map[sheet],MATCH(既製杭[[#This Row],[杭種]],既製杭_map[杭種],0)),"")</f>
        <v/>
      </c>
      <c r="V32" s="3" t="str">
        <f>IFERROR(INDEX(既製杭_map[cell],MATCH(既製杭[[#This Row],[杭種]],既製杭_map[杭種],0)),"")</f>
        <v/>
      </c>
      <c r="X32" s="5"/>
      <c r="Y32" s="5"/>
      <c r="Z32" s="5"/>
      <c r="AA32" s="3">
        <f>現場打コンクリート[[#This Row],[数量]]</f>
        <v>0</v>
      </c>
      <c r="AB32" s="3" t="str" cm="1">
        <f t="array" aca="1" ref="AB32" ca="1">IFERROR(INDEX(INDIRECT("現場打コンクリート_"&amp;X32&amp;"[sheet]"),IFERROR(MATCH(Y32,INDIRECT("現場打コンクリート_"&amp;X32&amp;"[設計基準強度]"),-1),1)),"")</f>
        <v/>
      </c>
      <c r="AC32" s="3" t="str" cm="1">
        <f t="array" aca="1" ref="AC32" ca="1">IFERROR(INDEX(INDIRECT("現場打コンクリート_"&amp;X32&amp;"[cell]"),IFERROR(MATCH(Y32,INDIRECT("現場打コンクリート_"&amp;X32&amp;"[設計基準強度]"),-1),1)),"")</f>
        <v/>
      </c>
      <c r="AE32" s="5"/>
      <c r="AF32" s="5"/>
      <c r="AG32" s="3">
        <f>PCaコンクリート_鉄筋無し[[#This Row],[数量]]</f>
        <v>0</v>
      </c>
      <c r="AH3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3" spans="1:35" x14ac:dyDescent="0.65">
      <c r="A33" s="5"/>
      <c r="B33" s="5"/>
      <c r="C33" s="6">
        <f>用途別面積[[#This Row],[床面積]]</f>
        <v>0</v>
      </c>
      <c r="D33" s="6" t="str">
        <f>IFERROR(VLOOKUP(用途別面積[[#This Row],[建物用途]],用途別面積_map[#All],2,FALSE),"")</f>
        <v/>
      </c>
      <c r="E33" s="6" t="str">
        <f>IFERROR(VLOOKUP(用途別面積[[#This Row],[建物用途]],用途別面積_map[#All],3,FALSE),"")</f>
        <v/>
      </c>
      <c r="J33" s="6">
        <f>現場打杭[[#This Row],[コンクリート数量]]</f>
        <v>0</v>
      </c>
      <c r="K33" s="3" t="str" cm="1">
        <f t="array" aca="1" ref="K33" ca="1">IFERROR(INDEX(INDIRECT("現場打杭_"&amp;G33&amp;"[sheet]"),IFERROR(MATCH(H33,INDIRECT("現場打杭_"&amp;G33&amp;"[設計基準強度]"),-1),1)),"")</f>
        <v/>
      </c>
      <c r="L33" s="3" t="str" cm="1">
        <f t="array" aca="1" ref="L33" ca="1">IFERROR(INDEX(INDIRECT("現場打杭_"&amp;G33&amp;"[cell]"),IFERROR(MATCH(H33,INDIRECT("現場打杭_"&amp;G33&amp;"[設計基準強度]"),-1),1)),"")</f>
        <v/>
      </c>
      <c r="N33" s="5"/>
      <c r="O33" s="5"/>
      <c r="P33" s="5"/>
      <c r="Q33" s="5"/>
      <c r="R33" s="5"/>
      <c r="S33" s="5"/>
      <c r="T33" s="3">
        <f>既製杭[[#This Row],[L]]/1000*既製杭[[#This Row],[員数]]</f>
        <v>0</v>
      </c>
      <c r="U33" s="3" t="str">
        <f>IFERROR(INDEX(既製杭_map[sheet],MATCH(既製杭[[#This Row],[杭種]],既製杭_map[杭種],0)),"")</f>
        <v/>
      </c>
      <c r="V33" s="3" t="str">
        <f>IFERROR(INDEX(既製杭_map[cell],MATCH(既製杭[[#This Row],[杭種]],既製杭_map[杭種],0)),"")</f>
        <v/>
      </c>
      <c r="X33" s="5"/>
      <c r="Y33" s="5"/>
      <c r="Z33" s="5"/>
      <c r="AA33" s="3">
        <f>現場打コンクリート[[#This Row],[数量]]</f>
        <v>0</v>
      </c>
      <c r="AB33" s="3" t="str" cm="1">
        <f t="array" aca="1" ref="AB33" ca="1">IFERROR(INDEX(INDIRECT("現場打コンクリート_"&amp;X33&amp;"[sheet]"),IFERROR(MATCH(Y33,INDIRECT("現場打コンクリート_"&amp;X33&amp;"[設計基準強度]"),-1),1)),"")</f>
        <v/>
      </c>
      <c r="AC33" s="3" t="str" cm="1">
        <f t="array" aca="1" ref="AC33" ca="1">IFERROR(INDEX(INDIRECT("現場打コンクリート_"&amp;X33&amp;"[cell]"),IFERROR(MATCH(Y33,INDIRECT("現場打コンクリート_"&amp;X33&amp;"[設計基準強度]"),-1),1)),"")</f>
        <v/>
      </c>
      <c r="AE33" s="5"/>
      <c r="AF33" s="5"/>
      <c r="AG33" s="3">
        <f>PCaコンクリート_鉄筋無し[[#This Row],[数量]]</f>
        <v>0</v>
      </c>
      <c r="AH3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4" spans="1:35" x14ac:dyDescent="0.65">
      <c r="A34" s="5"/>
      <c r="B34" s="5"/>
      <c r="C34" s="6">
        <f>用途別面積[[#This Row],[床面積]]</f>
        <v>0</v>
      </c>
      <c r="D34" s="6" t="str">
        <f>IFERROR(VLOOKUP(用途別面積[[#This Row],[建物用途]],用途別面積_map[#All],2,FALSE),"")</f>
        <v/>
      </c>
      <c r="E34" s="6" t="str">
        <f>IFERROR(VLOOKUP(用途別面積[[#This Row],[建物用途]],用途別面積_map[#All],3,FALSE),"")</f>
        <v/>
      </c>
      <c r="J34" s="6">
        <f>現場打杭[[#This Row],[コンクリート数量]]</f>
        <v>0</v>
      </c>
      <c r="K34" s="3" t="str" cm="1">
        <f t="array" aca="1" ref="K34" ca="1">IFERROR(INDEX(INDIRECT("現場打杭_"&amp;G34&amp;"[sheet]"),IFERROR(MATCH(H34,INDIRECT("現場打杭_"&amp;G34&amp;"[設計基準強度]"),-1),1)),"")</f>
        <v/>
      </c>
      <c r="L34" s="3" t="str" cm="1">
        <f t="array" aca="1" ref="L34" ca="1">IFERROR(INDEX(INDIRECT("現場打杭_"&amp;G34&amp;"[cell]"),IFERROR(MATCH(H34,INDIRECT("現場打杭_"&amp;G34&amp;"[設計基準強度]"),-1),1)),"")</f>
        <v/>
      </c>
      <c r="N34" s="5"/>
      <c r="O34" s="5"/>
      <c r="P34" s="5"/>
      <c r="Q34" s="5"/>
      <c r="R34" s="5"/>
      <c r="S34" s="5"/>
      <c r="T34" s="3">
        <f>既製杭[[#This Row],[L]]/1000*既製杭[[#This Row],[員数]]</f>
        <v>0</v>
      </c>
      <c r="U34" s="3" t="str">
        <f>IFERROR(INDEX(既製杭_map[sheet],MATCH(既製杭[[#This Row],[杭種]],既製杭_map[杭種],0)),"")</f>
        <v/>
      </c>
      <c r="V34" s="3" t="str">
        <f>IFERROR(INDEX(既製杭_map[cell],MATCH(既製杭[[#This Row],[杭種]],既製杭_map[杭種],0)),"")</f>
        <v/>
      </c>
      <c r="X34" s="5"/>
      <c r="Y34" s="5"/>
      <c r="Z34" s="5"/>
      <c r="AA34" s="3">
        <f>現場打コンクリート[[#This Row],[数量]]</f>
        <v>0</v>
      </c>
      <c r="AB34" s="3" t="str" cm="1">
        <f t="array" aca="1" ref="AB34" ca="1">IFERROR(INDEX(INDIRECT("現場打コンクリート_"&amp;X34&amp;"[sheet]"),IFERROR(MATCH(Y34,INDIRECT("現場打コンクリート_"&amp;X34&amp;"[設計基準強度]"),-1),1)),"")</f>
        <v/>
      </c>
      <c r="AC34" s="3" t="str" cm="1">
        <f t="array" aca="1" ref="AC34" ca="1">IFERROR(INDEX(INDIRECT("現場打コンクリート_"&amp;X34&amp;"[cell]"),IFERROR(MATCH(Y34,INDIRECT("現場打コンクリート_"&amp;X34&amp;"[設計基準強度]"),-1),1)),"")</f>
        <v/>
      </c>
      <c r="AE34" s="5"/>
      <c r="AF34" s="5"/>
      <c r="AG34" s="3">
        <f>PCaコンクリート_鉄筋無し[[#This Row],[数量]]</f>
        <v>0</v>
      </c>
      <c r="AH3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5" spans="1:35" x14ac:dyDescent="0.65">
      <c r="A35" s="5"/>
      <c r="B35" s="5"/>
      <c r="C35" s="6">
        <f>用途別面積[[#This Row],[床面積]]</f>
        <v>0</v>
      </c>
      <c r="D35" s="6" t="str">
        <f>IFERROR(VLOOKUP(用途別面積[[#This Row],[建物用途]],用途別面積_map[#All],2,FALSE),"")</f>
        <v/>
      </c>
      <c r="E35" s="6" t="str">
        <f>IFERROR(VLOOKUP(用途別面積[[#This Row],[建物用途]],用途別面積_map[#All],3,FALSE),"")</f>
        <v/>
      </c>
      <c r="J35" s="6">
        <f>現場打杭[[#This Row],[コンクリート数量]]</f>
        <v>0</v>
      </c>
      <c r="K35" s="3" t="str" cm="1">
        <f t="array" aca="1" ref="K35" ca="1">IFERROR(INDEX(INDIRECT("現場打杭_"&amp;G35&amp;"[sheet]"),IFERROR(MATCH(H35,INDIRECT("現場打杭_"&amp;G35&amp;"[設計基準強度]"),-1),1)),"")</f>
        <v/>
      </c>
      <c r="L35" s="3" t="str" cm="1">
        <f t="array" aca="1" ref="L35" ca="1">IFERROR(INDEX(INDIRECT("現場打杭_"&amp;G35&amp;"[cell]"),IFERROR(MATCH(H35,INDIRECT("現場打杭_"&amp;G35&amp;"[設計基準強度]"),-1),1)),"")</f>
        <v/>
      </c>
      <c r="N35" s="5"/>
      <c r="O35" s="5"/>
      <c r="P35" s="5"/>
      <c r="Q35" s="5"/>
      <c r="R35" s="5"/>
      <c r="S35" s="5"/>
      <c r="T35" s="3">
        <f>既製杭[[#This Row],[L]]/1000*既製杭[[#This Row],[員数]]</f>
        <v>0</v>
      </c>
      <c r="U35" s="3" t="str">
        <f>IFERROR(INDEX(既製杭_map[sheet],MATCH(既製杭[[#This Row],[杭種]],既製杭_map[杭種],0)),"")</f>
        <v/>
      </c>
      <c r="V35" s="3" t="str">
        <f>IFERROR(INDEX(既製杭_map[cell],MATCH(既製杭[[#This Row],[杭種]],既製杭_map[杭種],0)),"")</f>
        <v/>
      </c>
      <c r="X35" s="5"/>
      <c r="Y35" s="5"/>
      <c r="Z35" s="5"/>
      <c r="AA35" s="3">
        <f>現場打コンクリート[[#This Row],[数量]]</f>
        <v>0</v>
      </c>
      <c r="AB35" s="3" t="str" cm="1">
        <f t="array" aca="1" ref="AB35" ca="1">IFERROR(INDEX(INDIRECT("現場打コンクリート_"&amp;X35&amp;"[sheet]"),IFERROR(MATCH(Y35,INDIRECT("現場打コンクリート_"&amp;X35&amp;"[設計基準強度]"),-1),1)),"")</f>
        <v/>
      </c>
      <c r="AC35" s="3" t="str" cm="1">
        <f t="array" aca="1" ref="AC35" ca="1">IFERROR(INDEX(INDIRECT("現場打コンクリート_"&amp;X35&amp;"[cell]"),IFERROR(MATCH(Y35,INDIRECT("現場打コンクリート_"&amp;X35&amp;"[設計基準強度]"),-1),1)),"")</f>
        <v/>
      </c>
      <c r="AE35" s="5"/>
      <c r="AF35" s="5"/>
      <c r="AG35" s="3">
        <f>PCaコンクリート_鉄筋無し[[#This Row],[数量]]</f>
        <v>0</v>
      </c>
      <c r="AH3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6" spans="1:35" x14ac:dyDescent="0.65">
      <c r="A36" s="5"/>
      <c r="B36" s="5"/>
      <c r="C36" s="6">
        <f>用途別面積[[#This Row],[床面積]]</f>
        <v>0</v>
      </c>
      <c r="D36" s="6" t="str">
        <f>IFERROR(VLOOKUP(用途別面積[[#This Row],[建物用途]],用途別面積_map[#All],2,FALSE),"")</f>
        <v/>
      </c>
      <c r="E36" s="6" t="str">
        <f>IFERROR(VLOOKUP(用途別面積[[#This Row],[建物用途]],用途別面積_map[#All],3,FALSE),"")</f>
        <v/>
      </c>
      <c r="J36" s="6">
        <f>現場打杭[[#This Row],[コンクリート数量]]</f>
        <v>0</v>
      </c>
      <c r="K36" s="3" t="str" cm="1">
        <f t="array" aca="1" ref="K36" ca="1">IFERROR(INDEX(INDIRECT("現場打杭_"&amp;G36&amp;"[sheet]"),IFERROR(MATCH(H36,INDIRECT("現場打杭_"&amp;G36&amp;"[設計基準強度]"),-1),1)),"")</f>
        <v/>
      </c>
      <c r="L36" s="3" t="str" cm="1">
        <f t="array" aca="1" ref="L36" ca="1">IFERROR(INDEX(INDIRECT("現場打杭_"&amp;G36&amp;"[cell]"),IFERROR(MATCH(H36,INDIRECT("現場打杭_"&amp;G36&amp;"[設計基準強度]"),-1),1)),"")</f>
        <v/>
      </c>
      <c r="N36" s="5"/>
      <c r="O36" s="5"/>
      <c r="P36" s="5"/>
      <c r="Q36" s="5"/>
      <c r="R36" s="5"/>
      <c r="S36" s="5"/>
      <c r="T36" s="3">
        <f>既製杭[[#This Row],[L]]/1000*既製杭[[#This Row],[員数]]</f>
        <v>0</v>
      </c>
      <c r="U36" s="3" t="str">
        <f>IFERROR(INDEX(既製杭_map[sheet],MATCH(既製杭[[#This Row],[杭種]],既製杭_map[杭種],0)),"")</f>
        <v/>
      </c>
      <c r="V36" s="3" t="str">
        <f>IFERROR(INDEX(既製杭_map[cell],MATCH(既製杭[[#This Row],[杭種]],既製杭_map[杭種],0)),"")</f>
        <v/>
      </c>
      <c r="X36" s="5"/>
      <c r="Y36" s="5"/>
      <c r="Z36" s="5"/>
      <c r="AA36" s="3">
        <f>現場打コンクリート[[#This Row],[数量]]</f>
        <v>0</v>
      </c>
      <c r="AB36" s="3" t="str" cm="1">
        <f t="array" aca="1" ref="AB36" ca="1">IFERROR(INDEX(INDIRECT("現場打コンクリート_"&amp;X36&amp;"[sheet]"),IFERROR(MATCH(Y36,INDIRECT("現場打コンクリート_"&amp;X36&amp;"[設計基準強度]"),-1),1)),"")</f>
        <v/>
      </c>
      <c r="AC36" s="3" t="str" cm="1">
        <f t="array" aca="1" ref="AC36" ca="1">IFERROR(INDEX(INDIRECT("現場打コンクリート_"&amp;X36&amp;"[cell]"),IFERROR(MATCH(Y36,INDIRECT("現場打コンクリート_"&amp;X36&amp;"[設計基準強度]"),-1),1)),"")</f>
        <v/>
      </c>
      <c r="AE36" s="5"/>
      <c r="AF36" s="5"/>
      <c r="AG36" s="3">
        <f>PCaコンクリート_鉄筋無し[[#This Row],[数量]]</f>
        <v>0</v>
      </c>
      <c r="AH3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7" spans="1:35" x14ac:dyDescent="0.65">
      <c r="A37" s="5"/>
      <c r="B37" s="5"/>
      <c r="C37" s="6">
        <f>用途別面積[[#This Row],[床面積]]</f>
        <v>0</v>
      </c>
      <c r="D37" s="6" t="str">
        <f>IFERROR(VLOOKUP(用途別面積[[#This Row],[建物用途]],用途別面積_map[#All],2,FALSE),"")</f>
        <v/>
      </c>
      <c r="E37" s="6" t="str">
        <f>IFERROR(VLOOKUP(用途別面積[[#This Row],[建物用途]],用途別面積_map[#All],3,FALSE),"")</f>
        <v/>
      </c>
      <c r="J37" s="6">
        <f>現場打杭[[#This Row],[コンクリート数量]]</f>
        <v>0</v>
      </c>
      <c r="K37" s="3" t="str" cm="1">
        <f t="array" aca="1" ref="K37" ca="1">IFERROR(INDEX(INDIRECT("現場打杭_"&amp;G37&amp;"[sheet]"),IFERROR(MATCH(H37,INDIRECT("現場打杭_"&amp;G37&amp;"[設計基準強度]"),-1),1)),"")</f>
        <v/>
      </c>
      <c r="L37" s="3" t="str" cm="1">
        <f t="array" aca="1" ref="L37" ca="1">IFERROR(INDEX(INDIRECT("現場打杭_"&amp;G37&amp;"[cell]"),IFERROR(MATCH(H37,INDIRECT("現場打杭_"&amp;G37&amp;"[設計基準強度]"),-1),1)),"")</f>
        <v/>
      </c>
      <c r="N37" s="5"/>
      <c r="O37" s="5"/>
      <c r="P37" s="5"/>
      <c r="Q37" s="5"/>
      <c r="R37" s="5"/>
      <c r="S37" s="5"/>
      <c r="T37" s="3">
        <f>既製杭[[#This Row],[L]]/1000*既製杭[[#This Row],[員数]]</f>
        <v>0</v>
      </c>
      <c r="U37" s="3" t="str">
        <f>IFERROR(INDEX(既製杭_map[sheet],MATCH(既製杭[[#This Row],[杭種]],既製杭_map[杭種],0)),"")</f>
        <v/>
      </c>
      <c r="V37" s="3" t="str">
        <f>IFERROR(INDEX(既製杭_map[cell],MATCH(既製杭[[#This Row],[杭種]],既製杭_map[杭種],0)),"")</f>
        <v/>
      </c>
      <c r="X37" s="5"/>
      <c r="Y37" s="5"/>
      <c r="Z37" s="5"/>
      <c r="AA37" s="3">
        <f>現場打コンクリート[[#This Row],[数量]]</f>
        <v>0</v>
      </c>
      <c r="AB37" s="3" t="str" cm="1">
        <f t="array" aca="1" ref="AB37" ca="1">IFERROR(INDEX(INDIRECT("現場打コンクリート_"&amp;X37&amp;"[sheet]"),IFERROR(MATCH(Y37,INDIRECT("現場打コンクリート_"&amp;X37&amp;"[設計基準強度]"),-1),1)),"")</f>
        <v/>
      </c>
      <c r="AC37" s="3" t="str" cm="1">
        <f t="array" aca="1" ref="AC37" ca="1">IFERROR(INDEX(INDIRECT("現場打コンクリート_"&amp;X37&amp;"[cell]"),IFERROR(MATCH(Y37,INDIRECT("現場打コンクリート_"&amp;X37&amp;"[設計基準強度]"),-1),1)),"")</f>
        <v/>
      </c>
      <c r="AE37" s="5"/>
      <c r="AF37" s="5"/>
      <c r="AG37" s="3">
        <f>PCaコンクリート_鉄筋無し[[#This Row],[数量]]</f>
        <v>0</v>
      </c>
      <c r="AH3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8" spans="1:35" x14ac:dyDescent="0.65">
      <c r="A38" s="5"/>
      <c r="B38" s="5"/>
      <c r="C38" s="6">
        <f>用途別面積[[#This Row],[床面積]]</f>
        <v>0</v>
      </c>
      <c r="D38" s="6" t="str">
        <f>IFERROR(VLOOKUP(用途別面積[[#This Row],[建物用途]],用途別面積_map[#All],2,FALSE),"")</f>
        <v/>
      </c>
      <c r="E38" s="6" t="str">
        <f>IFERROR(VLOOKUP(用途別面積[[#This Row],[建物用途]],用途別面積_map[#All],3,FALSE),"")</f>
        <v/>
      </c>
      <c r="J38" s="6">
        <f>現場打杭[[#This Row],[コンクリート数量]]</f>
        <v>0</v>
      </c>
      <c r="K38" s="3" t="str" cm="1">
        <f t="array" aca="1" ref="K38" ca="1">IFERROR(INDEX(INDIRECT("現場打杭_"&amp;G38&amp;"[sheet]"),IFERROR(MATCH(H38,INDIRECT("現場打杭_"&amp;G38&amp;"[設計基準強度]"),-1),1)),"")</f>
        <v/>
      </c>
      <c r="L38" s="3" t="str" cm="1">
        <f t="array" aca="1" ref="L38" ca="1">IFERROR(INDEX(INDIRECT("現場打杭_"&amp;G38&amp;"[cell]"),IFERROR(MATCH(H38,INDIRECT("現場打杭_"&amp;G38&amp;"[設計基準強度]"),-1),1)),"")</f>
        <v/>
      </c>
      <c r="N38" s="5"/>
      <c r="O38" s="5"/>
      <c r="P38" s="5"/>
      <c r="Q38" s="5"/>
      <c r="R38" s="5"/>
      <c r="S38" s="5"/>
      <c r="T38" s="3">
        <f>既製杭[[#This Row],[L]]/1000*既製杭[[#This Row],[員数]]</f>
        <v>0</v>
      </c>
      <c r="U38" s="3" t="str">
        <f>IFERROR(INDEX(既製杭_map[sheet],MATCH(既製杭[[#This Row],[杭種]],既製杭_map[杭種],0)),"")</f>
        <v/>
      </c>
      <c r="V38" s="3" t="str">
        <f>IFERROR(INDEX(既製杭_map[cell],MATCH(既製杭[[#This Row],[杭種]],既製杭_map[杭種],0)),"")</f>
        <v/>
      </c>
      <c r="X38" s="5"/>
      <c r="Y38" s="5"/>
      <c r="Z38" s="5"/>
      <c r="AA38" s="3">
        <f>現場打コンクリート[[#This Row],[数量]]</f>
        <v>0</v>
      </c>
      <c r="AB38" s="3" t="str" cm="1">
        <f t="array" aca="1" ref="AB38" ca="1">IFERROR(INDEX(INDIRECT("現場打コンクリート_"&amp;X38&amp;"[sheet]"),IFERROR(MATCH(Y38,INDIRECT("現場打コンクリート_"&amp;X38&amp;"[設計基準強度]"),-1),1)),"")</f>
        <v/>
      </c>
      <c r="AC38" s="3" t="str" cm="1">
        <f t="array" aca="1" ref="AC38" ca="1">IFERROR(INDEX(INDIRECT("現場打コンクリート_"&amp;X38&amp;"[cell]"),IFERROR(MATCH(Y38,INDIRECT("現場打コンクリート_"&amp;X38&amp;"[設計基準強度]"),-1),1)),"")</f>
        <v/>
      </c>
      <c r="AE38" s="5"/>
      <c r="AF38" s="5"/>
      <c r="AG38" s="3">
        <f>PCaコンクリート_鉄筋無し[[#This Row],[数量]]</f>
        <v>0</v>
      </c>
      <c r="AH3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9" spans="1:35" x14ac:dyDescent="0.65">
      <c r="A39" s="5"/>
      <c r="B39" s="5"/>
      <c r="C39" s="6">
        <f>用途別面積[[#This Row],[床面積]]</f>
        <v>0</v>
      </c>
      <c r="D39" s="6" t="str">
        <f>IFERROR(VLOOKUP(用途別面積[[#This Row],[建物用途]],用途別面積_map[#All],2,FALSE),"")</f>
        <v/>
      </c>
      <c r="E39" s="6" t="str">
        <f>IFERROR(VLOOKUP(用途別面積[[#This Row],[建物用途]],用途別面積_map[#All],3,FALSE),"")</f>
        <v/>
      </c>
      <c r="J39" s="6">
        <f>現場打杭[[#This Row],[コンクリート数量]]</f>
        <v>0</v>
      </c>
      <c r="K39" s="3" t="str" cm="1">
        <f t="array" aca="1" ref="K39" ca="1">IFERROR(INDEX(INDIRECT("現場打杭_"&amp;G39&amp;"[sheet]"),IFERROR(MATCH(H39,INDIRECT("現場打杭_"&amp;G39&amp;"[設計基準強度]"),-1),1)),"")</f>
        <v/>
      </c>
      <c r="L39" s="3" t="str" cm="1">
        <f t="array" aca="1" ref="L39" ca="1">IFERROR(INDEX(INDIRECT("現場打杭_"&amp;G39&amp;"[cell]"),IFERROR(MATCH(H39,INDIRECT("現場打杭_"&amp;G39&amp;"[設計基準強度]"),-1),1)),"")</f>
        <v/>
      </c>
      <c r="N39" s="5"/>
      <c r="O39" s="5"/>
      <c r="P39" s="5"/>
      <c r="Q39" s="5"/>
      <c r="R39" s="5"/>
      <c r="S39" s="5"/>
      <c r="T39" s="3">
        <f>既製杭[[#This Row],[L]]/1000*既製杭[[#This Row],[員数]]</f>
        <v>0</v>
      </c>
      <c r="U39" s="3" t="str">
        <f>IFERROR(INDEX(既製杭_map[sheet],MATCH(既製杭[[#This Row],[杭種]],既製杭_map[杭種],0)),"")</f>
        <v/>
      </c>
      <c r="V39" s="3" t="str">
        <f>IFERROR(INDEX(既製杭_map[cell],MATCH(既製杭[[#This Row],[杭種]],既製杭_map[杭種],0)),"")</f>
        <v/>
      </c>
      <c r="X39" s="5"/>
      <c r="Y39" s="5"/>
      <c r="Z39" s="5"/>
      <c r="AA39" s="3">
        <f>現場打コンクリート[[#This Row],[数量]]</f>
        <v>0</v>
      </c>
      <c r="AB39" s="3" t="str" cm="1">
        <f t="array" aca="1" ref="AB39" ca="1">IFERROR(INDEX(INDIRECT("現場打コンクリート_"&amp;X39&amp;"[sheet]"),IFERROR(MATCH(Y39,INDIRECT("現場打コンクリート_"&amp;X39&amp;"[設計基準強度]"),-1),1)),"")</f>
        <v/>
      </c>
      <c r="AC39" s="3" t="str" cm="1">
        <f t="array" aca="1" ref="AC39" ca="1">IFERROR(INDEX(INDIRECT("現場打コンクリート_"&amp;X39&amp;"[cell]"),IFERROR(MATCH(Y39,INDIRECT("現場打コンクリート_"&amp;X39&amp;"[設計基準強度]"),-1),1)),"")</f>
        <v/>
      </c>
      <c r="AE39" s="5"/>
      <c r="AF39" s="5"/>
      <c r="AG39" s="3">
        <f>PCaコンクリート_鉄筋無し[[#This Row],[数量]]</f>
        <v>0</v>
      </c>
      <c r="AH3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0" spans="1:35" x14ac:dyDescent="0.65">
      <c r="A40" s="5"/>
      <c r="B40" s="5"/>
      <c r="C40" s="6">
        <f>用途別面積[[#This Row],[床面積]]</f>
        <v>0</v>
      </c>
      <c r="D40" s="6" t="str">
        <f>IFERROR(VLOOKUP(用途別面積[[#This Row],[建物用途]],用途別面積_map[#All],2,FALSE),"")</f>
        <v/>
      </c>
      <c r="E40" s="6" t="str">
        <f>IFERROR(VLOOKUP(用途別面積[[#This Row],[建物用途]],用途別面積_map[#All],3,FALSE),"")</f>
        <v/>
      </c>
      <c r="J40" s="6">
        <f>現場打杭[[#This Row],[コンクリート数量]]</f>
        <v>0</v>
      </c>
      <c r="K40" s="3" t="str" cm="1">
        <f t="array" aca="1" ref="K40" ca="1">IFERROR(INDEX(INDIRECT("現場打杭_"&amp;G40&amp;"[sheet]"),IFERROR(MATCH(H40,INDIRECT("現場打杭_"&amp;G40&amp;"[設計基準強度]"),-1),1)),"")</f>
        <v/>
      </c>
      <c r="L40" s="3" t="str" cm="1">
        <f t="array" aca="1" ref="L40" ca="1">IFERROR(INDEX(INDIRECT("現場打杭_"&amp;G40&amp;"[cell]"),IFERROR(MATCH(H40,INDIRECT("現場打杭_"&amp;G40&amp;"[設計基準強度]"),-1),1)),"")</f>
        <v/>
      </c>
      <c r="N40" s="5"/>
      <c r="O40" s="5"/>
      <c r="P40" s="5"/>
      <c r="Q40" s="5"/>
      <c r="R40" s="5"/>
      <c r="S40" s="5"/>
      <c r="T40" s="3">
        <f>既製杭[[#This Row],[L]]/1000*既製杭[[#This Row],[員数]]</f>
        <v>0</v>
      </c>
      <c r="U40" s="3" t="str">
        <f>IFERROR(INDEX(既製杭_map[sheet],MATCH(既製杭[[#This Row],[杭種]],既製杭_map[杭種],0)),"")</f>
        <v/>
      </c>
      <c r="V40" s="3" t="str">
        <f>IFERROR(INDEX(既製杭_map[cell],MATCH(既製杭[[#This Row],[杭種]],既製杭_map[杭種],0)),"")</f>
        <v/>
      </c>
      <c r="X40" s="5"/>
      <c r="Y40" s="5"/>
      <c r="Z40" s="5"/>
      <c r="AA40" s="3">
        <f>現場打コンクリート[[#This Row],[数量]]</f>
        <v>0</v>
      </c>
      <c r="AB40" s="3" t="str" cm="1">
        <f t="array" aca="1" ref="AB40" ca="1">IFERROR(INDEX(INDIRECT("現場打コンクリート_"&amp;X40&amp;"[sheet]"),IFERROR(MATCH(Y40,INDIRECT("現場打コンクリート_"&amp;X40&amp;"[設計基準強度]"),-1),1)),"")</f>
        <v/>
      </c>
      <c r="AC40" s="3" t="str" cm="1">
        <f t="array" aca="1" ref="AC40" ca="1">IFERROR(INDEX(INDIRECT("現場打コンクリート_"&amp;X40&amp;"[cell]"),IFERROR(MATCH(Y40,INDIRECT("現場打コンクリート_"&amp;X40&amp;"[設計基準強度]"),-1),1)),"")</f>
        <v/>
      </c>
      <c r="AE40" s="5"/>
      <c r="AF40" s="5"/>
      <c r="AG40" s="3">
        <f>PCaコンクリート_鉄筋無し[[#This Row],[数量]]</f>
        <v>0</v>
      </c>
      <c r="AH4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1" spans="1:35" x14ac:dyDescent="0.65">
      <c r="A41" s="5"/>
      <c r="B41" s="5"/>
      <c r="C41" s="6">
        <f>用途別面積[[#This Row],[床面積]]</f>
        <v>0</v>
      </c>
      <c r="D41" s="6" t="str">
        <f>IFERROR(VLOOKUP(用途別面積[[#This Row],[建物用途]],用途別面積_map[#All],2,FALSE),"")</f>
        <v/>
      </c>
      <c r="E41" s="6" t="str">
        <f>IFERROR(VLOOKUP(用途別面積[[#This Row],[建物用途]],用途別面積_map[#All],3,FALSE),"")</f>
        <v/>
      </c>
      <c r="J41" s="6">
        <f>現場打杭[[#This Row],[コンクリート数量]]</f>
        <v>0</v>
      </c>
      <c r="K41" s="3" t="str" cm="1">
        <f t="array" aca="1" ref="K41" ca="1">IFERROR(INDEX(INDIRECT("現場打杭_"&amp;G41&amp;"[sheet]"),IFERROR(MATCH(H41,INDIRECT("現場打杭_"&amp;G41&amp;"[設計基準強度]"),-1),1)),"")</f>
        <v/>
      </c>
      <c r="L41" s="3" t="str" cm="1">
        <f t="array" aca="1" ref="L41" ca="1">IFERROR(INDEX(INDIRECT("現場打杭_"&amp;G41&amp;"[cell]"),IFERROR(MATCH(H41,INDIRECT("現場打杭_"&amp;G41&amp;"[設計基準強度]"),-1),1)),"")</f>
        <v/>
      </c>
      <c r="N41" s="5"/>
      <c r="O41" s="5"/>
      <c r="P41" s="5"/>
      <c r="Q41" s="5"/>
      <c r="R41" s="5"/>
      <c r="S41" s="5"/>
      <c r="T41" s="3">
        <f>既製杭[[#This Row],[L]]/1000*既製杭[[#This Row],[員数]]</f>
        <v>0</v>
      </c>
      <c r="U41" s="3" t="str">
        <f>IFERROR(INDEX(既製杭_map[sheet],MATCH(既製杭[[#This Row],[杭種]],既製杭_map[杭種],0)),"")</f>
        <v/>
      </c>
      <c r="V41" s="3" t="str">
        <f>IFERROR(INDEX(既製杭_map[cell],MATCH(既製杭[[#This Row],[杭種]],既製杭_map[杭種],0)),"")</f>
        <v/>
      </c>
      <c r="X41" s="5"/>
      <c r="Y41" s="5"/>
      <c r="Z41" s="5"/>
      <c r="AA41" s="3">
        <f>現場打コンクリート[[#This Row],[数量]]</f>
        <v>0</v>
      </c>
      <c r="AB41" s="3" t="str" cm="1">
        <f t="array" aca="1" ref="AB41" ca="1">IFERROR(INDEX(INDIRECT("現場打コンクリート_"&amp;X41&amp;"[sheet]"),IFERROR(MATCH(Y41,INDIRECT("現場打コンクリート_"&amp;X41&amp;"[設計基準強度]"),-1),1)),"")</f>
        <v/>
      </c>
      <c r="AC41" s="3" t="str" cm="1">
        <f t="array" aca="1" ref="AC41" ca="1">IFERROR(INDEX(INDIRECT("現場打コンクリート_"&amp;X41&amp;"[cell]"),IFERROR(MATCH(Y41,INDIRECT("現場打コンクリート_"&amp;X41&amp;"[設計基準強度]"),-1),1)),"")</f>
        <v/>
      </c>
      <c r="AE41" s="5"/>
      <c r="AF41" s="5"/>
      <c r="AG41" s="3">
        <f>PCaコンクリート_鉄筋無し[[#This Row],[数量]]</f>
        <v>0</v>
      </c>
      <c r="AH4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2" spans="1:35" x14ac:dyDescent="0.65">
      <c r="A42" s="5"/>
      <c r="B42" s="5"/>
      <c r="C42" s="6">
        <f>用途別面積[[#This Row],[床面積]]</f>
        <v>0</v>
      </c>
      <c r="D42" s="6" t="str">
        <f>IFERROR(VLOOKUP(用途別面積[[#This Row],[建物用途]],用途別面積_map[#All],2,FALSE),"")</f>
        <v/>
      </c>
      <c r="E42" s="6" t="str">
        <f>IFERROR(VLOOKUP(用途別面積[[#This Row],[建物用途]],用途別面積_map[#All],3,FALSE),"")</f>
        <v/>
      </c>
      <c r="J42" s="6">
        <f>現場打杭[[#This Row],[コンクリート数量]]</f>
        <v>0</v>
      </c>
      <c r="K42" s="3" t="str" cm="1">
        <f t="array" aca="1" ref="K42" ca="1">IFERROR(INDEX(INDIRECT("現場打杭_"&amp;G42&amp;"[sheet]"),IFERROR(MATCH(H42,INDIRECT("現場打杭_"&amp;G42&amp;"[設計基準強度]"),-1),1)),"")</f>
        <v/>
      </c>
      <c r="L42" s="3" t="str" cm="1">
        <f t="array" aca="1" ref="L42" ca="1">IFERROR(INDEX(INDIRECT("現場打杭_"&amp;G42&amp;"[cell]"),IFERROR(MATCH(H42,INDIRECT("現場打杭_"&amp;G42&amp;"[設計基準強度]"),-1),1)),"")</f>
        <v/>
      </c>
      <c r="N42" s="5"/>
      <c r="O42" s="5"/>
      <c r="P42" s="5"/>
      <c r="Q42" s="5"/>
      <c r="R42" s="5"/>
      <c r="S42" s="5"/>
      <c r="T42" s="3">
        <f>既製杭[[#This Row],[L]]/1000*既製杭[[#This Row],[員数]]</f>
        <v>0</v>
      </c>
      <c r="U42" s="3" t="str">
        <f>IFERROR(INDEX(既製杭_map[sheet],MATCH(既製杭[[#This Row],[杭種]],既製杭_map[杭種],0)),"")</f>
        <v/>
      </c>
      <c r="V42" s="3" t="str">
        <f>IFERROR(INDEX(既製杭_map[cell],MATCH(既製杭[[#This Row],[杭種]],既製杭_map[杭種],0)),"")</f>
        <v/>
      </c>
      <c r="X42" s="5"/>
      <c r="Y42" s="5"/>
      <c r="Z42" s="5"/>
      <c r="AA42" s="3">
        <f>現場打コンクリート[[#This Row],[数量]]</f>
        <v>0</v>
      </c>
      <c r="AB42" s="3" t="str" cm="1">
        <f t="array" aca="1" ref="AB42" ca="1">IFERROR(INDEX(INDIRECT("現場打コンクリート_"&amp;X42&amp;"[sheet]"),IFERROR(MATCH(Y42,INDIRECT("現場打コンクリート_"&amp;X42&amp;"[設計基準強度]"),-1),1)),"")</f>
        <v/>
      </c>
      <c r="AC42" s="3" t="str" cm="1">
        <f t="array" aca="1" ref="AC42" ca="1">IFERROR(INDEX(INDIRECT("現場打コンクリート_"&amp;X42&amp;"[cell]"),IFERROR(MATCH(Y42,INDIRECT("現場打コンクリート_"&amp;X42&amp;"[設計基準強度]"),-1),1)),"")</f>
        <v/>
      </c>
      <c r="AE42" s="5"/>
      <c r="AF42" s="5"/>
      <c r="AG42" s="3">
        <f>PCaコンクリート_鉄筋無し[[#This Row],[数量]]</f>
        <v>0</v>
      </c>
      <c r="AH4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3" spans="1:35" x14ac:dyDescent="0.65">
      <c r="A43" s="5"/>
      <c r="B43" s="5"/>
      <c r="C43" s="6">
        <f>用途別面積[[#This Row],[床面積]]</f>
        <v>0</v>
      </c>
      <c r="D43" s="6" t="str">
        <f>IFERROR(VLOOKUP(用途別面積[[#This Row],[建物用途]],用途別面積_map[#All],2,FALSE),"")</f>
        <v/>
      </c>
      <c r="E43" s="6" t="str">
        <f>IFERROR(VLOOKUP(用途別面積[[#This Row],[建物用途]],用途別面積_map[#All],3,FALSE),"")</f>
        <v/>
      </c>
      <c r="J43" s="6">
        <f>現場打杭[[#This Row],[コンクリート数量]]</f>
        <v>0</v>
      </c>
      <c r="K43" s="3" t="str" cm="1">
        <f t="array" aca="1" ref="K43" ca="1">IFERROR(INDEX(INDIRECT("現場打杭_"&amp;G43&amp;"[sheet]"),IFERROR(MATCH(H43,INDIRECT("現場打杭_"&amp;G43&amp;"[設計基準強度]"),-1),1)),"")</f>
        <v/>
      </c>
      <c r="L43" s="3" t="str" cm="1">
        <f t="array" aca="1" ref="L43" ca="1">IFERROR(INDEX(INDIRECT("現場打杭_"&amp;G43&amp;"[cell]"),IFERROR(MATCH(H43,INDIRECT("現場打杭_"&amp;G43&amp;"[設計基準強度]"),-1),1)),"")</f>
        <v/>
      </c>
      <c r="N43" s="5"/>
      <c r="O43" s="5"/>
      <c r="P43" s="5"/>
      <c r="Q43" s="5"/>
      <c r="R43" s="5"/>
      <c r="S43" s="5"/>
      <c r="T43" s="3">
        <f>既製杭[[#This Row],[L]]/1000*既製杭[[#This Row],[員数]]</f>
        <v>0</v>
      </c>
      <c r="U43" s="3" t="str">
        <f>IFERROR(INDEX(既製杭_map[sheet],MATCH(既製杭[[#This Row],[杭種]],既製杭_map[杭種],0)),"")</f>
        <v/>
      </c>
      <c r="V43" s="3" t="str">
        <f>IFERROR(INDEX(既製杭_map[cell],MATCH(既製杭[[#This Row],[杭種]],既製杭_map[杭種],0)),"")</f>
        <v/>
      </c>
      <c r="X43" s="5"/>
      <c r="Y43" s="5"/>
      <c r="Z43" s="5"/>
      <c r="AA43" s="3">
        <f>現場打コンクリート[[#This Row],[数量]]</f>
        <v>0</v>
      </c>
      <c r="AB43" s="3" t="str" cm="1">
        <f t="array" aca="1" ref="AB43" ca="1">IFERROR(INDEX(INDIRECT("現場打コンクリート_"&amp;X43&amp;"[sheet]"),IFERROR(MATCH(Y43,INDIRECT("現場打コンクリート_"&amp;X43&amp;"[設計基準強度]"),-1),1)),"")</f>
        <v/>
      </c>
      <c r="AC43" s="3" t="str" cm="1">
        <f t="array" aca="1" ref="AC43" ca="1">IFERROR(INDEX(INDIRECT("現場打コンクリート_"&amp;X43&amp;"[cell]"),IFERROR(MATCH(Y43,INDIRECT("現場打コンクリート_"&amp;X43&amp;"[設計基準強度]"),-1),1)),"")</f>
        <v/>
      </c>
      <c r="AE43" s="5"/>
      <c r="AF43" s="5"/>
      <c r="AG43" s="3">
        <f>PCaコンクリート_鉄筋無し[[#This Row],[数量]]</f>
        <v>0</v>
      </c>
      <c r="AH4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4" spans="1:35" x14ac:dyDescent="0.65">
      <c r="A44" s="5"/>
      <c r="B44" s="5"/>
      <c r="C44" s="6">
        <f>用途別面積[[#This Row],[床面積]]</f>
        <v>0</v>
      </c>
      <c r="D44" s="6" t="str">
        <f>IFERROR(VLOOKUP(用途別面積[[#This Row],[建物用途]],用途別面積_map[#All],2,FALSE),"")</f>
        <v/>
      </c>
      <c r="E44" s="6" t="str">
        <f>IFERROR(VLOOKUP(用途別面積[[#This Row],[建物用途]],用途別面積_map[#All],3,FALSE),"")</f>
        <v/>
      </c>
      <c r="J44" s="6">
        <f>現場打杭[[#This Row],[コンクリート数量]]</f>
        <v>0</v>
      </c>
      <c r="K44" s="3" t="str" cm="1">
        <f t="array" aca="1" ref="K44" ca="1">IFERROR(INDEX(INDIRECT("現場打杭_"&amp;G44&amp;"[sheet]"),IFERROR(MATCH(H44,INDIRECT("現場打杭_"&amp;G44&amp;"[設計基準強度]"),-1),1)),"")</f>
        <v/>
      </c>
      <c r="L44" s="3" t="str" cm="1">
        <f t="array" aca="1" ref="L44" ca="1">IFERROR(INDEX(INDIRECT("現場打杭_"&amp;G44&amp;"[cell]"),IFERROR(MATCH(H44,INDIRECT("現場打杭_"&amp;G44&amp;"[設計基準強度]"),-1),1)),"")</f>
        <v/>
      </c>
      <c r="N44" s="5"/>
      <c r="O44" s="5"/>
      <c r="P44" s="5"/>
      <c r="Q44" s="5"/>
      <c r="R44" s="5"/>
      <c r="S44" s="5"/>
      <c r="T44" s="3">
        <f>既製杭[[#This Row],[L]]/1000*既製杭[[#This Row],[員数]]</f>
        <v>0</v>
      </c>
      <c r="U44" s="3" t="str">
        <f>IFERROR(INDEX(既製杭_map[sheet],MATCH(既製杭[[#This Row],[杭種]],既製杭_map[杭種],0)),"")</f>
        <v/>
      </c>
      <c r="V44" s="3" t="str">
        <f>IFERROR(INDEX(既製杭_map[cell],MATCH(既製杭[[#This Row],[杭種]],既製杭_map[杭種],0)),"")</f>
        <v/>
      </c>
      <c r="X44" s="5"/>
      <c r="Y44" s="5"/>
      <c r="Z44" s="5"/>
      <c r="AA44" s="3">
        <f>現場打コンクリート[[#This Row],[数量]]</f>
        <v>0</v>
      </c>
      <c r="AB44" s="3" t="str" cm="1">
        <f t="array" aca="1" ref="AB44" ca="1">IFERROR(INDEX(INDIRECT("現場打コンクリート_"&amp;X44&amp;"[sheet]"),IFERROR(MATCH(Y44,INDIRECT("現場打コンクリート_"&amp;X44&amp;"[設計基準強度]"),-1),1)),"")</f>
        <v/>
      </c>
      <c r="AC44" s="3" t="str" cm="1">
        <f t="array" aca="1" ref="AC44" ca="1">IFERROR(INDEX(INDIRECT("現場打コンクリート_"&amp;X44&amp;"[cell]"),IFERROR(MATCH(Y44,INDIRECT("現場打コンクリート_"&amp;X44&amp;"[設計基準強度]"),-1),1)),"")</f>
        <v/>
      </c>
      <c r="AE44" s="5"/>
      <c r="AF44" s="5"/>
      <c r="AG44" s="3">
        <f>PCaコンクリート_鉄筋無し[[#This Row],[数量]]</f>
        <v>0</v>
      </c>
      <c r="AH4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5" spans="1:35" x14ac:dyDescent="0.65">
      <c r="A45" s="5"/>
      <c r="B45" s="5"/>
      <c r="C45" s="6">
        <f>用途別面積[[#This Row],[床面積]]</f>
        <v>0</v>
      </c>
      <c r="D45" s="6" t="str">
        <f>IFERROR(VLOOKUP(用途別面積[[#This Row],[建物用途]],用途別面積_map[#All],2,FALSE),"")</f>
        <v/>
      </c>
      <c r="E45" s="6" t="str">
        <f>IFERROR(VLOOKUP(用途別面積[[#This Row],[建物用途]],用途別面積_map[#All],3,FALSE),"")</f>
        <v/>
      </c>
      <c r="J45" s="6">
        <f>現場打杭[[#This Row],[コンクリート数量]]</f>
        <v>0</v>
      </c>
      <c r="K45" s="3" t="str" cm="1">
        <f t="array" aca="1" ref="K45" ca="1">IFERROR(INDEX(INDIRECT("現場打杭_"&amp;G45&amp;"[sheet]"),IFERROR(MATCH(H45,INDIRECT("現場打杭_"&amp;G45&amp;"[設計基準強度]"),-1),1)),"")</f>
        <v/>
      </c>
      <c r="L45" s="3" t="str" cm="1">
        <f t="array" aca="1" ref="L45" ca="1">IFERROR(INDEX(INDIRECT("現場打杭_"&amp;G45&amp;"[cell]"),IFERROR(MATCH(H45,INDIRECT("現場打杭_"&amp;G45&amp;"[設計基準強度]"),-1),1)),"")</f>
        <v/>
      </c>
      <c r="N45" s="5"/>
      <c r="O45" s="5"/>
      <c r="P45" s="5"/>
      <c r="Q45" s="5"/>
      <c r="R45" s="5"/>
      <c r="S45" s="5"/>
      <c r="T45" s="3">
        <f>既製杭[[#This Row],[L]]/1000*既製杭[[#This Row],[員数]]</f>
        <v>0</v>
      </c>
      <c r="U45" s="3" t="str">
        <f>IFERROR(INDEX(既製杭_map[sheet],MATCH(既製杭[[#This Row],[杭種]],既製杭_map[杭種],0)),"")</f>
        <v/>
      </c>
      <c r="V45" s="3" t="str">
        <f>IFERROR(INDEX(既製杭_map[cell],MATCH(既製杭[[#This Row],[杭種]],既製杭_map[杭種],0)),"")</f>
        <v/>
      </c>
      <c r="X45" s="5"/>
      <c r="Y45" s="5"/>
      <c r="Z45" s="5"/>
      <c r="AA45" s="3">
        <f>現場打コンクリート[[#This Row],[数量]]</f>
        <v>0</v>
      </c>
      <c r="AB45" s="3" t="str" cm="1">
        <f t="array" aca="1" ref="AB45" ca="1">IFERROR(INDEX(INDIRECT("現場打コンクリート_"&amp;X45&amp;"[sheet]"),IFERROR(MATCH(Y45,INDIRECT("現場打コンクリート_"&amp;X45&amp;"[設計基準強度]"),-1),1)),"")</f>
        <v/>
      </c>
      <c r="AC45" s="3" t="str" cm="1">
        <f t="array" aca="1" ref="AC45" ca="1">IFERROR(INDEX(INDIRECT("現場打コンクリート_"&amp;X45&amp;"[cell]"),IFERROR(MATCH(Y45,INDIRECT("現場打コンクリート_"&amp;X45&amp;"[設計基準強度]"),-1),1)),"")</f>
        <v/>
      </c>
      <c r="AE45" s="5"/>
      <c r="AF45" s="5"/>
      <c r="AG45" s="3">
        <f>PCaコンクリート_鉄筋無し[[#This Row],[数量]]</f>
        <v>0</v>
      </c>
      <c r="AH4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6" spans="1:35" x14ac:dyDescent="0.65">
      <c r="A46" s="5"/>
      <c r="B46" s="5"/>
      <c r="C46" s="6">
        <f>用途別面積[[#This Row],[床面積]]</f>
        <v>0</v>
      </c>
      <c r="D46" s="6" t="str">
        <f>IFERROR(VLOOKUP(用途別面積[[#This Row],[建物用途]],用途別面積_map[#All],2,FALSE),"")</f>
        <v/>
      </c>
      <c r="E46" s="6" t="str">
        <f>IFERROR(VLOOKUP(用途別面積[[#This Row],[建物用途]],用途別面積_map[#All],3,FALSE),"")</f>
        <v/>
      </c>
      <c r="J46" s="6">
        <f>現場打杭[[#This Row],[コンクリート数量]]</f>
        <v>0</v>
      </c>
      <c r="K46" s="3" t="str" cm="1">
        <f t="array" aca="1" ref="K46" ca="1">IFERROR(INDEX(INDIRECT("現場打杭_"&amp;G46&amp;"[sheet]"),IFERROR(MATCH(H46,INDIRECT("現場打杭_"&amp;G46&amp;"[設計基準強度]"),-1),1)),"")</f>
        <v/>
      </c>
      <c r="L46" s="3" t="str" cm="1">
        <f t="array" aca="1" ref="L46" ca="1">IFERROR(INDEX(INDIRECT("現場打杭_"&amp;G46&amp;"[cell]"),IFERROR(MATCH(H46,INDIRECT("現場打杭_"&amp;G46&amp;"[設計基準強度]"),-1),1)),"")</f>
        <v/>
      </c>
      <c r="N46" s="5"/>
      <c r="O46" s="5"/>
      <c r="P46" s="5"/>
      <c r="Q46" s="5"/>
      <c r="R46" s="5"/>
      <c r="S46" s="5"/>
      <c r="T46" s="3">
        <f>既製杭[[#This Row],[L]]/1000*既製杭[[#This Row],[員数]]</f>
        <v>0</v>
      </c>
      <c r="U46" s="3" t="str">
        <f>IFERROR(INDEX(既製杭_map[sheet],MATCH(既製杭[[#This Row],[杭種]],既製杭_map[杭種],0)),"")</f>
        <v/>
      </c>
      <c r="V46" s="3" t="str">
        <f>IFERROR(INDEX(既製杭_map[cell],MATCH(既製杭[[#This Row],[杭種]],既製杭_map[杭種],0)),"")</f>
        <v/>
      </c>
      <c r="X46" s="5"/>
      <c r="Y46" s="5"/>
      <c r="Z46" s="5"/>
      <c r="AA46" s="3">
        <f>現場打コンクリート[[#This Row],[数量]]</f>
        <v>0</v>
      </c>
      <c r="AB46" s="3" t="str" cm="1">
        <f t="array" aca="1" ref="AB46" ca="1">IFERROR(INDEX(INDIRECT("現場打コンクリート_"&amp;X46&amp;"[sheet]"),IFERROR(MATCH(Y46,INDIRECT("現場打コンクリート_"&amp;X46&amp;"[設計基準強度]"),-1),1)),"")</f>
        <v/>
      </c>
      <c r="AC46" s="3" t="str" cm="1">
        <f t="array" aca="1" ref="AC46" ca="1">IFERROR(INDEX(INDIRECT("現場打コンクリート_"&amp;X46&amp;"[cell]"),IFERROR(MATCH(Y46,INDIRECT("現場打コンクリート_"&amp;X46&amp;"[設計基準強度]"),-1),1)),"")</f>
        <v/>
      </c>
      <c r="AE46" s="5"/>
      <c r="AF46" s="5"/>
      <c r="AG46" s="3">
        <f>PCaコンクリート_鉄筋無し[[#This Row],[数量]]</f>
        <v>0</v>
      </c>
      <c r="AH4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7" spans="1:35" x14ac:dyDescent="0.65">
      <c r="A47" s="5"/>
      <c r="B47" s="5"/>
      <c r="C47" s="6">
        <f>用途別面積[[#This Row],[床面積]]</f>
        <v>0</v>
      </c>
      <c r="D47" s="6" t="str">
        <f>IFERROR(VLOOKUP(用途別面積[[#This Row],[建物用途]],用途別面積_map[#All],2,FALSE),"")</f>
        <v/>
      </c>
      <c r="E47" s="6" t="str">
        <f>IFERROR(VLOOKUP(用途別面積[[#This Row],[建物用途]],用途別面積_map[#All],3,FALSE),"")</f>
        <v/>
      </c>
      <c r="J47" s="6">
        <f>現場打杭[[#This Row],[コンクリート数量]]</f>
        <v>0</v>
      </c>
      <c r="K47" s="3" t="str" cm="1">
        <f t="array" aca="1" ref="K47" ca="1">IFERROR(INDEX(INDIRECT("現場打杭_"&amp;G47&amp;"[sheet]"),IFERROR(MATCH(H47,INDIRECT("現場打杭_"&amp;G47&amp;"[設計基準強度]"),-1),1)),"")</f>
        <v/>
      </c>
      <c r="L47" s="3" t="str" cm="1">
        <f t="array" aca="1" ref="L47" ca="1">IFERROR(INDEX(INDIRECT("現場打杭_"&amp;G47&amp;"[cell]"),IFERROR(MATCH(H47,INDIRECT("現場打杭_"&amp;G47&amp;"[設計基準強度]"),-1),1)),"")</f>
        <v/>
      </c>
      <c r="N47" s="5"/>
      <c r="O47" s="5"/>
      <c r="P47" s="5"/>
      <c r="Q47" s="5"/>
      <c r="R47" s="5"/>
      <c r="S47" s="5"/>
      <c r="T47" s="3">
        <f>既製杭[[#This Row],[L]]/1000*既製杭[[#This Row],[員数]]</f>
        <v>0</v>
      </c>
      <c r="U47" s="3" t="str">
        <f>IFERROR(INDEX(既製杭_map[sheet],MATCH(既製杭[[#This Row],[杭種]],既製杭_map[杭種],0)),"")</f>
        <v/>
      </c>
      <c r="V47" s="3" t="str">
        <f>IFERROR(INDEX(既製杭_map[cell],MATCH(既製杭[[#This Row],[杭種]],既製杭_map[杭種],0)),"")</f>
        <v/>
      </c>
      <c r="X47" s="5"/>
      <c r="Y47" s="5"/>
      <c r="Z47" s="5"/>
      <c r="AA47" s="3">
        <f>現場打コンクリート[[#This Row],[数量]]</f>
        <v>0</v>
      </c>
      <c r="AB47" s="3" t="str" cm="1">
        <f t="array" aca="1" ref="AB47" ca="1">IFERROR(INDEX(INDIRECT("現場打コンクリート_"&amp;X47&amp;"[sheet]"),IFERROR(MATCH(Y47,INDIRECT("現場打コンクリート_"&amp;X47&amp;"[設計基準強度]"),-1),1)),"")</f>
        <v/>
      </c>
      <c r="AC47" s="3" t="str" cm="1">
        <f t="array" aca="1" ref="AC47" ca="1">IFERROR(INDEX(INDIRECT("現場打コンクリート_"&amp;X47&amp;"[cell]"),IFERROR(MATCH(Y47,INDIRECT("現場打コンクリート_"&amp;X47&amp;"[設計基準強度]"),-1),1)),"")</f>
        <v/>
      </c>
      <c r="AE47" s="5"/>
      <c r="AF47" s="5"/>
      <c r="AG47" s="3">
        <f>PCaコンクリート_鉄筋無し[[#This Row],[数量]]</f>
        <v>0</v>
      </c>
      <c r="AH4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8" spans="1:35" x14ac:dyDescent="0.65">
      <c r="A48" s="5"/>
      <c r="B48" s="5"/>
      <c r="C48" s="6">
        <f>用途別面積[[#This Row],[床面積]]</f>
        <v>0</v>
      </c>
      <c r="D48" s="6" t="str">
        <f>IFERROR(VLOOKUP(用途別面積[[#This Row],[建物用途]],用途別面積_map[#All],2,FALSE),"")</f>
        <v/>
      </c>
      <c r="E48" s="6" t="str">
        <f>IFERROR(VLOOKUP(用途別面積[[#This Row],[建物用途]],用途別面積_map[#All],3,FALSE),"")</f>
        <v/>
      </c>
      <c r="J48" s="6">
        <f>現場打杭[[#This Row],[コンクリート数量]]</f>
        <v>0</v>
      </c>
      <c r="K48" s="3" t="str" cm="1">
        <f t="array" aca="1" ref="K48" ca="1">IFERROR(INDEX(INDIRECT("現場打杭_"&amp;G48&amp;"[sheet]"),IFERROR(MATCH(H48,INDIRECT("現場打杭_"&amp;G48&amp;"[設計基準強度]"),-1),1)),"")</f>
        <v/>
      </c>
      <c r="L48" s="3" t="str" cm="1">
        <f t="array" aca="1" ref="L48" ca="1">IFERROR(INDEX(INDIRECT("現場打杭_"&amp;G48&amp;"[cell]"),IFERROR(MATCH(H48,INDIRECT("現場打杭_"&amp;G48&amp;"[設計基準強度]"),-1),1)),"")</f>
        <v/>
      </c>
      <c r="N48" s="5"/>
      <c r="O48" s="5"/>
      <c r="P48" s="5"/>
      <c r="Q48" s="5"/>
      <c r="R48" s="5"/>
      <c r="S48" s="5"/>
      <c r="T48" s="3">
        <f>既製杭[[#This Row],[L]]/1000*既製杭[[#This Row],[員数]]</f>
        <v>0</v>
      </c>
      <c r="U48" s="3" t="str">
        <f>IFERROR(INDEX(既製杭_map[sheet],MATCH(既製杭[[#This Row],[杭種]],既製杭_map[杭種],0)),"")</f>
        <v/>
      </c>
      <c r="V48" s="3" t="str">
        <f>IFERROR(INDEX(既製杭_map[cell],MATCH(既製杭[[#This Row],[杭種]],既製杭_map[杭種],0)),"")</f>
        <v/>
      </c>
      <c r="X48" s="5"/>
      <c r="Y48" s="5"/>
      <c r="Z48" s="5"/>
      <c r="AA48" s="3">
        <f>現場打コンクリート[[#This Row],[数量]]</f>
        <v>0</v>
      </c>
      <c r="AB48" s="3" t="str" cm="1">
        <f t="array" aca="1" ref="AB48" ca="1">IFERROR(INDEX(INDIRECT("現場打コンクリート_"&amp;X48&amp;"[sheet]"),IFERROR(MATCH(Y48,INDIRECT("現場打コンクリート_"&amp;X48&amp;"[設計基準強度]"),-1),1)),"")</f>
        <v/>
      </c>
      <c r="AC48" s="3" t="str" cm="1">
        <f t="array" aca="1" ref="AC48" ca="1">IFERROR(INDEX(INDIRECT("現場打コンクリート_"&amp;X48&amp;"[cell]"),IFERROR(MATCH(Y48,INDIRECT("現場打コンクリート_"&amp;X48&amp;"[設計基準強度]"),-1),1)),"")</f>
        <v/>
      </c>
      <c r="AE48" s="5"/>
      <c r="AF48" s="5"/>
      <c r="AG48" s="3">
        <f>PCaコンクリート_鉄筋無し[[#This Row],[数量]]</f>
        <v>0</v>
      </c>
      <c r="AH4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9" spans="1:35" x14ac:dyDescent="0.65">
      <c r="A49" s="5"/>
      <c r="B49" s="5"/>
      <c r="C49" s="6">
        <f>用途別面積[[#This Row],[床面積]]</f>
        <v>0</v>
      </c>
      <c r="D49" s="6" t="str">
        <f>IFERROR(VLOOKUP(用途別面積[[#This Row],[建物用途]],用途別面積_map[#All],2,FALSE),"")</f>
        <v/>
      </c>
      <c r="E49" s="6" t="str">
        <f>IFERROR(VLOOKUP(用途別面積[[#This Row],[建物用途]],用途別面積_map[#All],3,FALSE),"")</f>
        <v/>
      </c>
      <c r="J49" s="6">
        <f>現場打杭[[#This Row],[コンクリート数量]]</f>
        <v>0</v>
      </c>
      <c r="K49" s="3" t="str" cm="1">
        <f t="array" aca="1" ref="K49" ca="1">IFERROR(INDEX(INDIRECT("現場打杭_"&amp;G49&amp;"[sheet]"),IFERROR(MATCH(H49,INDIRECT("現場打杭_"&amp;G49&amp;"[設計基準強度]"),-1),1)),"")</f>
        <v/>
      </c>
      <c r="L49" s="3" t="str" cm="1">
        <f t="array" aca="1" ref="L49" ca="1">IFERROR(INDEX(INDIRECT("現場打杭_"&amp;G49&amp;"[cell]"),IFERROR(MATCH(H49,INDIRECT("現場打杭_"&amp;G49&amp;"[設計基準強度]"),-1),1)),"")</f>
        <v/>
      </c>
      <c r="N49" s="5"/>
      <c r="O49" s="5"/>
      <c r="P49" s="5"/>
      <c r="Q49" s="5"/>
      <c r="R49" s="5"/>
      <c r="S49" s="5"/>
      <c r="T49" s="3">
        <f>既製杭[[#This Row],[L]]/1000*既製杭[[#This Row],[員数]]</f>
        <v>0</v>
      </c>
      <c r="U49" s="3" t="str">
        <f>IFERROR(INDEX(既製杭_map[sheet],MATCH(既製杭[[#This Row],[杭種]],既製杭_map[杭種],0)),"")</f>
        <v/>
      </c>
      <c r="V49" s="3" t="str">
        <f>IFERROR(INDEX(既製杭_map[cell],MATCH(既製杭[[#This Row],[杭種]],既製杭_map[杭種],0)),"")</f>
        <v/>
      </c>
      <c r="X49" s="5"/>
      <c r="Y49" s="5"/>
      <c r="Z49" s="5"/>
      <c r="AA49" s="3">
        <f>現場打コンクリート[[#This Row],[数量]]</f>
        <v>0</v>
      </c>
      <c r="AB49" s="3" t="str" cm="1">
        <f t="array" aca="1" ref="AB49" ca="1">IFERROR(INDEX(INDIRECT("現場打コンクリート_"&amp;X49&amp;"[sheet]"),IFERROR(MATCH(Y49,INDIRECT("現場打コンクリート_"&amp;X49&amp;"[設計基準強度]"),-1),1)),"")</f>
        <v/>
      </c>
      <c r="AC49" s="3" t="str" cm="1">
        <f t="array" aca="1" ref="AC49" ca="1">IFERROR(INDEX(INDIRECT("現場打コンクリート_"&amp;X49&amp;"[cell]"),IFERROR(MATCH(Y49,INDIRECT("現場打コンクリート_"&amp;X49&amp;"[設計基準強度]"),-1),1)),"")</f>
        <v/>
      </c>
      <c r="AE49" s="5"/>
      <c r="AF49" s="5"/>
      <c r="AG49" s="3">
        <f>PCaコンクリート_鉄筋無し[[#This Row],[数量]]</f>
        <v>0</v>
      </c>
      <c r="AH4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0" spans="1:35" x14ac:dyDescent="0.65">
      <c r="A50" s="5"/>
      <c r="B50" s="5"/>
      <c r="C50" s="6">
        <f>用途別面積[[#This Row],[床面積]]</f>
        <v>0</v>
      </c>
      <c r="D50" s="6" t="str">
        <f>IFERROR(VLOOKUP(用途別面積[[#This Row],[建物用途]],用途別面積_map[#All],2,FALSE),"")</f>
        <v/>
      </c>
      <c r="E50" s="6" t="str">
        <f>IFERROR(VLOOKUP(用途別面積[[#This Row],[建物用途]],用途別面積_map[#All],3,FALSE),"")</f>
        <v/>
      </c>
      <c r="J50" s="6">
        <f>現場打杭[[#This Row],[コンクリート数量]]</f>
        <v>0</v>
      </c>
      <c r="K50" s="3" t="str" cm="1">
        <f t="array" aca="1" ref="K50" ca="1">IFERROR(INDEX(INDIRECT("現場打杭_"&amp;G50&amp;"[sheet]"),IFERROR(MATCH(H50,INDIRECT("現場打杭_"&amp;G50&amp;"[設計基準強度]"),-1),1)),"")</f>
        <v/>
      </c>
      <c r="L50" s="3" t="str" cm="1">
        <f t="array" aca="1" ref="L50" ca="1">IFERROR(INDEX(INDIRECT("現場打杭_"&amp;G50&amp;"[cell]"),IFERROR(MATCH(H50,INDIRECT("現場打杭_"&amp;G50&amp;"[設計基準強度]"),-1),1)),"")</f>
        <v/>
      </c>
      <c r="N50" s="5"/>
      <c r="O50" s="5"/>
      <c r="P50" s="5"/>
      <c r="Q50" s="5"/>
      <c r="R50" s="5"/>
      <c r="S50" s="5"/>
      <c r="T50" s="3">
        <f>既製杭[[#This Row],[L]]/1000*既製杭[[#This Row],[員数]]</f>
        <v>0</v>
      </c>
      <c r="U50" s="3" t="str">
        <f>IFERROR(INDEX(既製杭_map[sheet],MATCH(既製杭[[#This Row],[杭種]],既製杭_map[杭種],0)),"")</f>
        <v/>
      </c>
      <c r="V50" s="3" t="str">
        <f>IFERROR(INDEX(既製杭_map[cell],MATCH(既製杭[[#This Row],[杭種]],既製杭_map[杭種],0)),"")</f>
        <v/>
      </c>
      <c r="X50" s="5"/>
      <c r="Y50" s="5"/>
      <c r="Z50" s="5"/>
      <c r="AA50" s="3">
        <f>現場打コンクリート[[#This Row],[数量]]</f>
        <v>0</v>
      </c>
      <c r="AB50" s="3" t="str" cm="1">
        <f t="array" aca="1" ref="AB50" ca="1">IFERROR(INDEX(INDIRECT("現場打コンクリート_"&amp;X50&amp;"[sheet]"),IFERROR(MATCH(Y50,INDIRECT("現場打コンクリート_"&amp;X50&amp;"[設計基準強度]"),-1),1)),"")</f>
        <v/>
      </c>
      <c r="AC50" s="3" t="str" cm="1">
        <f t="array" aca="1" ref="AC50" ca="1">IFERROR(INDEX(INDIRECT("現場打コンクリート_"&amp;X50&amp;"[cell]"),IFERROR(MATCH(Y50,INDIRECT("現場打コンクリート_"&amp;X50&amp;"[設計基準強度]"),-1),1)),"")</f>
        <v/>
      </c>
      <c r="AE50" s="5"/>
      <c r="AF50" s="5"/>
      <c r="AG50" s="3">
        <f>PCaコンクリート_鉄筋無し[[#This Row],[数量]]</f>
        <v>0</v>
      </c>
      <c r="AH5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1" spans="1:35" x14ac:dyDescent="0.65">
      <c r="A51" s="5"/>
      <c r="B51" s="5"/>
      <c r="C51" s="6">
        <f>用途別面積[[#This Row],[床面積]]</f>
        <v>0</v>
      </c>
      <c r="D51" s="6" t="str">
        <f>IFERROR(VLOOKUP(用途別面積[[#This Row],[建物用途]],用途別面積_map[#All],2,FALSE),"")</f>
        <v/>
      </c>
      <c r="E51" s="6" t="str">
        <f>IFERROR(VLOOKUP(用途別面積[[#This Row],[建物用途]],用途別面積_map[#All],3,FALSE),"")</f>
        <v/>
      </c>
      <c r="J51" s="6">
        <f>現場打杭[[#This Row],[コンクリート数量]]</f>
        <v>0</v>
      </c>
      <c r="K51" s="3" t="str" cm="1">
        <f t="array" aca="1" ref="K51" ca="1">IFERROR(INDEX(INDIRECT("現場打杭_"&amp;G51&amp;"[sheet]"),IFERROR(MATCH(H51,INDIRECT("現場打杭_"&amp;G51&amp;"[設計基準強度]"),-1),1)),"")</f>
        <v/>
      </c>
      <c r="L51" s="3" t="str" cm="1">
        <f t="array" aca="1" ref="L51" ca="1">IFERROR(INDEX(INDIRECT("現場打杭_"&amp;G51&amp;"[cell]"),IFERROR(MATCH(H51,INDIRECT("現場打杭_"&amp;G51&amp;"[設計基準強度]"),-1),1)),"")</f>
        <v/>
      </c>
      <c r="N51" s="5"/>
      <c r="O51" s="5"/>
      <c r="P51" s="5"/>
      <c r="Q51" s="5"/>
      <c r="R51" s="5"/>
      <c r="S51" s="5"/>
      <c r="T51" s="3">
        <f>既製杭[[#This Row],[L]]/1000*既製杭[[#This Row],[員数]]</f>
        <v>0</v>
      </c>
      <c r="U51" s="3" t="str">
        <f>IFERROR(INDEX(既製杭_map[sheet],MATCH(既製杭[[#This Row],[杭種]],既製杭_map[杭種],0)),"")</f>
        <v/>
      </c>
      <c r="V51" s="3" t="str">
        <f>IFERROR(INDEX(既製杭_map[cell],MATCH(既製杭[[#This Row],[杭種]],既製杭_map[杭種],0)),"")</f>
        <v/>
      </c>
      <c r="X51" s="5"/>
      <c r="Y51" s="5"/>
      <c r="Z51" s="5"/>
      <c r="AA51" s="3">
        <f>現場打コンクリート[[#This Row],[数量]]</f>
        <v>0</v>
      </c>
      <c r="AB51" s="3" t="str" cm="1">
        <f t="array" aca="1" ref="AB51" ca="1">IFERROR(INDEX(INDIRECT("現場打コンクリート_"&amp;X51&amp;"[sheet]"),IFERROR(MATCH(Y51,INDIRECT("現場打コンクリート_"&amp;X51&amp;"[設計基準強度]"),-1),1)),"")</f>
        <v/>
      </c>
      <c r="AC51" s="3" t="str" cm="1">
        <f t="array" aca="1" ref="AC51" ca="1">IFERROR(INDEX(INDIRECT("現場打コンクリート_"&amp;X51&amp;"[cell]"),IFERROR(MATCH(Y51,INDIRECT("現場打コンクリート_"&amp;X51&amp;"[設計基準強度]"),-1),1)),"")</f>
        <v/>
      </c>
      <c r="AE51" s="5"/>
      <c r="AF51" s="5"/>
      <c r="AG51" s="3">
        <f>PCaコンクリート_鉄筋無し[[#This Row],[数量]]</f>
        <v>0</v>
      </c>
      <c r="AH5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2" spans="1:35" x14ac:dyDescent="0.65">
      <c r="A52" s="5"/>
      <c r="B52" s="5"/>
      <c r="C52" s="6">
        <f>用途別面積[[#This Row],[床面積]]</f>
        <v>0</v>
      </c>
      <c r="D52" s="6" t="str">
        <f>IFERROR(VLOOKUP(用途別面積[[#This Row],[建物用途]],用途別面積_map[#All],2,FALSE),"")</f>
        <v/>
      </c>
      <c r="E52" s="6" t="str">
        <f>IFERROR(VLOOKUP(用途別面積[[#This Row],[建物用途]],用途別面積_map[#All],3,FALSE),"")</f>
        <v/>
      </c>
      <c r="J52" s="6">
        <f>現場打杭[[#This Row],[コンクリート数量]]</f>
        <v>0</v>
      </c>
      <c r="K52" s="3" t="str" cm="1">
        <f t="array" aca="1" ref="K52" ca="1">IFERROR(INDEX(INDIRECT("現場打杭_"&amp;G52&amp;"[sheet]"),IFERROR(MATCH(H52,INDIRECT("現場打杭_"&amp;G52&amp;"[設計基準強度]"),-1),1)),"")</f>
        <v/>
      </c>
      <c r="L52" s="3" t="str" cm="1">
        <f t="array" aca="1" ref="L52" ca="1">IFERROR(INDEX(INDIRECT("現場打杭_"&amp;G52&amp;"[cell]"),IFERROR(MATCH(H52,INDIRECT("現場打杭_"&amp;G52&amp;"[設計基準強度]"),-1),1)),"")</f>
        <v/>
      </c>
      <c r="N52" s="5"/>
      <c r="O52" s="5"/>
      <c r="P52" s="5"/>
      <c r="Q52" s="5"/>
      <c r="R52" s="5"/>
      <c r="S52" s="5"/>
      <c r="T52" s="3">
        <f>既製杭[[#This Row],[L]]/1000*既製杭[[#This Row],[員数]]</f>
        <v>0</v>
      </c>
      <c r="U52" s="3" t="str">
        <f>IFERROR(INDEX(既製杭_map[sheet],MATCH(既製杭[[#This Row],[杭種]],既製杭_map[杭種],0)),"")</f>
        <v/>
      </c>
      <c r="V52" s="3" t="str">
        <f>IFERROR(INDEX(既製杭_map[cell],MATCH(既製杭[[#This Row],[杭種]],既製杭_map[杭種],0)),"")</f>
        <v/>
      </c>
      <c r="X52" s="5"/>
      <c r="Y52" s="5"/>
      <c r="Z52" s="5"/>
      <c r="AA52" s="3">
        <f>現場打コンクリート[[#This Row],[数量]]</f>
        <v>0</v>
      </c>
      <c r="AB52" s="3" t="str" cm="1">
        <f t="array" aca="1" ref="AB52" ca="1">IFERROR(INDEX(INDIRECT("現場打コンクリート_"&amp;X52&amp;"[sheet]"),IFERROR(MATCH(Y52,INDIRECT("現場打コンクリート_"&amp;X52&amp;"[設計基準強度]"),-1),1)),"")</f>
        <v/>
      </c>
      <c r="AC52" s="3" t="str" cm="1">
        <f t="array" aca="1" ref="AC52" ca="1">IFERROR(INDEX(INDIRECT("現場打コンクリート_"&amp;X52&amp;"[cell]"),IFERROR(MATCH(Y52,INDIRECT("現場打コンクリート_"&amp;X52&amp;"[設計基準強度]"),-1),1)),"")</f>
        <v/>
      </c>
      <c r="AE52" s="5"/>
      <c r="AF52" s="5"/>
      <c r="AG52" s="3">
        <f>PCaコンクリート_鉄筋無し[[#This Row],[数量]]</f>
        <v>0</v>
      </c>
      <c r="AH5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3" spans="1:35" x14ac:dyDescent="0.65">
      <c r="A53" s="5"/>
      <c r="B53" s="5"/>
      <c r="C53" s="6">
        <f>用途別面積[[#This Row],[床面積]]</f>
        <v>0</v>
      </c>
      <c r="D53" s="6" t="str">
        <f>IFERROR(VLOOKUP(用途別面積[[#This Row],[建物用途]],用途別面積_map[#All],2,FALSE),"")</f>
        <v/>
      </c>
      <c r="E53" s="6" t="str">
        <f>IFERROR(VLOOKUP(用途別面積[[#This Row],[建物用途]],用途別面積_map[#All],3,FALSE),"")</f>
        <v/>
      </c>
      <c r="J53" s="6">
        <f>現場打杭[[#This Row],[コンクリート数量]]</f>
        <v>0</v>
      </c>
      <c r="K53" s="3" t="str" cm="1">
        <f t="array" aca="1" ref="K53" ca="1">IFERROR(INDEX(INDIRECT("現場打杭_"&amp;G53&amp;"[sheet]"),IFERROR(MATCH(H53,INDIRECT("現場打杭_"&amp;G53&amp;"[設計基準強度]"),-1),1)),"")</f>
        <v/>
      </c>
      <c r="L53" s="3" t="str" cm="1">
        <f t="array" aca="1" ref="L53" ca="1">IFERROR(INDEX(INDIRECT("現場打杭_"&amp;G53&amp;"[cell]"),IFERROR(MATCH(H53,INDIRECT("現場打杭_"&amp;G53&amp;"[設計基準強度]"),-1),1)),"")</f>
        <v/>
      </c>
      <c r="N53" s="5"/>
      <c r="O53" s="5"/>
      <c r="P53" s="5"/>
      <c r="Q53" s="5"/>
      <c r="R53" s="5"/>
      <c r="S53" s="5"/>
      <c r="T53" s="3">
        <f>既製杭[[#This Row],[L]]/1000*既製杭[[#This Row],[員数]]</f>
        <v>0</v>
      </c>
      <c r="U53" s="3" t="str">
        <f>IFERROR(INDEX(既製杭_map[sheet],MATCH(既製杭[[#This Row],[杭種]],既製杭_map[杭種],0)),"")</f>
        <v/>
      </c>
      <c r="V53" s="3" t="str">
        <f>IFERROR(INDEX(既製杭_map[cell],MATCH(既製杭[[#This Row],[杭種]],既製杭_map[杭種],0)),"")</f>
        <v/>
      </c>
      <c r="X53" s="5"/>
      <c r="Y53" s="5"/>
      <c r="Z53" s="5"/>
      <c r="AA53" s="3">
        <f>現場打コンクリート[[#This Row],[数量]]</f>
        <v>0</v>
      </c>
      <c r="AB53" s="3" t="str" cm="1">
        <f t="array" aca="1" ref="AB53" ca="1">IFERROR(INDEX(INDIRECT("現場打コンクリート_"&amp;X53&amp;"[sheet]"),IFERROR(MATCH(Y53,INDIRECT("現場打コンクリート_"&amp;X53&amp;"[設計基準強度]"),-1),1)),"")</f>
        <v/>
      </c>
      <c r="AC53" s="3" t="str" cm="1">
        <f t="array" aca="1" ref="AC53" ca="1">IFERROR(INDEX(INDIRECT("現場打コンクリート_"&amp;X53&amp;"[cell]"),IFERROR(MATCH(Y53,INDIRECT("現場打コンクリート_"&amp;X53&amp;"[設計基準強度]"),-1),1)),"")</f>
        <v/>
      </c>
      <c r="AE53" s="5"/>
      <c r="AF53" s="5"/>
      <c r="AG53" s="3">
        <f>PCaコンクリート_鉄筋無し[[#This Row],[数量]]</f>
        <v>0</v>
      </c>
      <c r="AH5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4" spans="1:35" x14ac:dyDescent="0.65">
      <c r="A54" s="5"/>
      <c r="B54" s="5"/>
      <c r="C54" s="6">
        <f>用途別面積[[#This Row],[床面積]]</f>
        <v>0</v>
      </c>
      <c r="D54" s="6" t="str">
        <f>IFERROR(VLOOKUP(用途別面積[[#This Row],[建物用途]],用途別面積_map[#All],2,FALSE),"")</f>
        <v/>
      </c>
      <c r="E54" s="6" t="str">
        <f>IFERROR(VLOOKUP(用途別面積[[#This Row],[建物用途]],用途別面積_map[#All],3,FALSE),"")</f>
        <v/>
      </c>
      <c r="J54" s="6">
        <f>現場打杭[[#This Row],[コンクリート数量]]</f>
        <v>0</v>
      </c>
      <c r="K54" s="3" t="str" cm="1">
        <f t="array" aca="1" ref="K54" ca="1">IFERROR(INDEX(INDIRECT("現場打杭_"&amp;G54&amp;"[sheet]"),IFERROR(MATCH(H54,INDIRECT("現場打杭_"&amp;G54&amp;"[設計基準強度]"),-1),1)),"")</f>
        <v/>
      </c>
      <c r="L54" s="3" t="str" cm="1">
        <f t="array" aca="1" ref="L54" ca="1">IFERROR(INDEX(INDIRECT("現場打杭_"&amp;G54&amp;"[cell]"),IFERROR(MATCH(H54,INDIRECT("現場打杭_"&amp;G54&amp;"[設計基準強度]"),-1),1)),"")</f>
        <v/>
      </c>
      <c r="N54" s="5"/>
      <c r="O54" s="5"/>
      <c r="P54" s="5"/>
      <c r="Q54" s="5"/>
      <c r="R54" s="5"/>
      <c r="S54" s="5"/>
      <c r="T54" s="3">
        <f>既製杭[[#This Row],[L]]/1000*既製杭[[#This Row],[員数]]</f>
        <v>0</v>
      </c>
      <c r="U54" s="3" t="str">
        <f>IFERROR(INDEX(既製杭_map[sheet],MATCH(既製杭[[#This Row],[杭種]],既製杭_map[杭種],0)),"")</f>
        <v/>
      </c>
      <c r="V54" s="3" t="str">
        <f>IFERROR(INDEX(既製杭_map[cell],MATCH(既製杭[[#This Row],[杭種]],既製杭_map[杭種],0)),"")</f>
        <v/>
      </c>
      <c r="X54" s="5"/>
      <c r="Y54" s="5"/>
      <c r="Z54" s="5"/>
      <c r="AA54" s="3">
        <f>現場打コンクリート[[#This Row],[数量]]</f>
        <v>0</v>
      </c>
      <c r="AB54" s="3" t="str" cm="1">
        <f t="array" aca="1" ref="AB54" ca="1">IFERROR(INDEX(INDIRECT("現場打コンクリート_"&amp;X54&amp;"[sheet]"),IFERROR(MATCH(Y54,INDIRECT("現場打コンクリート_"&amp;X54&amp;"[設計基準強度]"),-1),1)),"")</f>
        <v/>
      </c>
      <c r="AC54" s="3" t="str" cm="1">
        <f t="array" aca="1" ref="AC54" ca="1">IFERROR(INDEX(INDIRECT("現場打コンクリート_"&amp;X54&amp;"[cell]"),IFERROR(MATCH(Y54,INDIRECT("現場打コンクリート_"&amp;X54&amp;"[設計基準強度]"),-1),1)),"")</f>
        <v/>
      </c>
      <c r="AE54" s="5"/>
      <c r="AF54" s="5"/>
      <c r="AG54" s="3">
        <f>PCaコンクリート_鉄筋無し[[#This Row],[数量]]</f>
        <v>0</v>
      </c>
      <c r="AH5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5" spans="1:35" x14ac:dyDescent="0.65">
      <c r="A55" s="5"/>
      <c r="B55" s="5"/>
      <c r="C55" s="6">
        <f>用途別面積[[#This Row],[床面積]]</f>
        <v>0</v>
      </c>
      <c r="D55" s="6" t="str">
        <f>IFERROR(VLOOKUP(用途別面積[[#This Row],[建物用途]],用途別面積_map[#All],2,FALSE),"")</f>
        <v/>
      </c>
      <c r="E55" s="6" t="str">
        <f>IFERROR(VLOOKUP(用途別面積[[#This Row],[建物用途]],用途別面積_map[#All],3,FALSE),"")</f>
        <v/>
      </c>
      <c r="J55" s="6">
        <f>現場打杭[[#This Row],[コンクリート数量]]</f>
        <v>0</v>
      </c>
      <c r="K55" s="3" t="str" cm="1">
        <f t="array" aca="1" ref="K55" ca="1">IFERROR(INDEX(INDIRECT("現場打杭_"&amp;G55&amp;"[sheet]"),IFERROR(MATCH(H55,INDIRECT("現場打杭_"&amp;G55&amp;"[設計基準強度]"),-1),1)),"")</f>
        <v/>
      </c>
      <c r="L55" s="3" t="str" cm="1">
        <f t="array" aca="1" ref="L55" ca="1">IFERROR(INDEX(INDIRECT("現場打杭_"&amp;G55&amp;"[cell]"),IFERROR(MATCH(H55,INDIRECT("現場打杭_"&amp;G55&amp;"[設計基準強度]"),-1),1)),"")</f>
        <v/>
      </c>
      <c r="N55" s="5"/>
      <c r="O55" s="5"/>
      <c r="P55" s="5"/>
      <c r="Q55" s="5"/>
      <c r="R55" s="5"/>
      <c r="S55" s="5"/>
      <c r="T55" s="3">
        <f>既製杭[[#This Row],[L]]/1000*既製杭[[#This Row],[員数]]</f>
        <v>0</v>
      </c>
      <c r="U55" s="3" t="str">
        <f>IFERROR(INDEX(既製杭_map[sheet],MATCH(既製杭[[#This Row],[杭種]],既製杭_map[杭種],0)),"")</f>
        <v/>
      </c>
      <c r="V55" s="3" t="str">
        <f>IFERROR(INDEX(既製杭_map[cell],MATCH(既製杭[[#This Row],[杭種]],既製杭_map[杭種],0)),"")</f>
        <v/>
      </c>
      <c r="X55" s="5"/>
      <c r="Y55" s="5"/>
      <c r="Z55" s="5"/>
      <c r="AA55" s="3">
        <f>現場打コンクリート[[#This Row],[数量]]</f>
        <v>0</v>
      </c>
      <c r="AB55" s="3" t="str" cm="1">
        <f t="array" aca="1" ref="AB55" ca="1">IFERROR(INDEX(INDIRECT("現場打コンクリート_"&amp;X55&amp;"[sheet]"),IFERROR(MATCH(Y55,INDIRECT("現場打コンクリート_"&amp;X55&amp;"[設計基準強度]"),-1),1)),"")</f>
        <v/>
      </c>
      <c r="AC55" s="3" t="str" cm="1">
        <f t="array" aca="1" ref="AC55" ca="1">IFERROR(INDEX(INDIRECT("現場打コンクリート_"&amp;X55&amp;"[cell]"),IFERROR(MATCH(Y55,INDIRECT("現場打コンクリート_"&amp;X55&amp;"[設計基準強度]"),-1),1)),"")</f>
        <v/>
      </c>
      <c r="AE55" s="5"/>
      <c r="AF55" s="5"/>
      <c r="AG55" s="3">
        <f>PCaコンクリート_鉄筋無し[[#This Row],[数量]]</f>
        <v>0</v>
      </c>
      <c r="AH5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6" spans="1:35" x14ac:dyDescent="0.65">
      <c r="A56" s="5"/>
      <c r="B56" s="5"/>
      <c r="C56" s="6">
        <f>用途別面積[[#This Row],[床面積]]</f>
        <v>0</v>
      </c>
      <c r="D56" s="6" t="str">
        <f>IFERROR(VLOOKUP(用途別面積[[#This Row],[建物用途]],用途別面積_map[#All],2,FALSE),"")</f>
        <v/>
      </c>
      <c r="E56" s="6" t="str">
        <f>IFERROR(VLOOKUP(用途別面積[[#This Row],[建物用途]],用途別面積_map[#All],3,FALSE),"")</f>
        <v/>
      </c>
      <c r="J56" s="6">
        <f>現場打杭[[#This Row],[コンクリート数量]]</f>
        <v>0</v>
      </c>
      <c r="K56" s="3" t="str" cm="1">
        <f t="array" aca="1" ref="K56" ca="1">IFERROR(INDEX(INDIRECT("現場打杭_"&amp;G56&amp;"[sheet]"),IFERROR(MATCH(H56,INDIRECT("現場打杭_"&amp;G56&amp;"[設計基準強度]"),-1),1)),"")</f>
        <v/>
      </c>
      <c r="L56" s="3" t="str" cm="1">
        <f t="array" aca="1" ref="L56" ca="1">IFERROR(INDEX(INDIRECT("現場打杭_"&amp;G56&amp;"[cell]"),IFERROR(MATCH(H56,INDIRECT("現場打杭_"&amp;G56&amp;"[設計基準強度]"),-1),1)),"")</f>
        <v/>
      </c>
      <c r="N56" s="5"/>
      <c r="O56" s="5"/>
      <c r="P56" s="5"/>
      <c r="Q56" s="5"/>
      <c r="R56" s="5"/>
      <c r="S56" s="5"/>
      <c r="T56" s="3">
        <f>既製杭[[#This Row],[L]]/1000*既製杭[[#This Row],[員数]]</f>
        <v>0</v>
      </c>
      <c r="U56" s="3" t="str">
        <f>IFERROR(INDEX(既製杭_map[sheet],MATCH(既製杭[[#This Row],[杭種]],既製杭_map[杭種],0)),"")</f>
        <v/>
      </c>
      <c r="V56" s="3" t="str">
        <f>IFERROR(INDEX(既製杭_map[cell],MATCH(既製杭[[#This Row],[杭種]],既製杭_map[杭種],0)),"")</f>
        <v/>
      </c>
      <c r="X56" s="5"/>
      <c r="Y56" s="5"/>
      <c r="Z56" s="5"/>
      <c r="AA56" s="3">
        <f>現場打コンクリート[[#This Row],[数量]]</f>
        <v>0</v>
      </c>
      <c r="AB56" s="3" t="str" cm="1">
        <f t="array" aca="1" ref="AB56" ca="1">IFERROR(INDEX(INDIRECT("現場打コンクリート_"&amp;X56&amp;"[sheet]"),IFERROR(MATCH(Y56,INDIRECT("現場打コンクリート_"&amp;X56&amp;"[設計基準強度]"),-1),1)),"")</f>
        <v/>
      </c>
      <c r="AC56" s="3" t="str" cm="1">
        <f t="array" aca="1" ref="AC56" ca="1">IFERROR(INDEX(INDIRECT("現場打コンクリート_"&amp;X56&amp;"[cell]"),IFERROR(MATCH(Y56,INDIRECT("現場打コンクリート_"&amp;X56&amp;"[設計基準強度]"),-1),1)),"")</f>
        <v/>
      </c>
      <c r="AE56" s="5"/>
      <c r="AF56" s="5"/>
      <c r="AG56" s="3">
        <f>PCaコンクリート_鉄筋無し[[#This Row],[数量]]</f>
        <v>0</v>
      </c>
      <c r="AH5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7" spans="1:35" x14ac:dyDescent="0.65">
      <c r="A57" s="5"/>
      <c r="B57" s="5"/>
      <c r="C57" s="6">
        <f>用途別面積[[#This Row],[床面積]]</f>
        <v>0</v>
      </c>
      <c r="D57" s="6" t="str">
        <f>IFERROR(VLOOKUP(用途別面積[[#This Row],[建物用途]],用途別面積_map[#All],2,FALSE),"")</f>
        <v/>
      </c>
      <c r="E57" s="6" t="str">
        <f>IFERROR(VLOOKUP(用途別面積[[#This Row],[建物用途]],用途別面積_map[#All],3,FALSE),"")</f>
        <v/>
      </c>
      <c r="J57" s="6">
        <f>現場打杭[[#This Row],[コンクリート数量]]</f>
        <v>0</v>
      </c>
      <c r="K57" s="3" t="str" cm="1">
        <f t="array" aca="1" ref="K57" ca="1">IFERROR(INDEX(INDIRECT("現場打杭_"&amp;G57&amp;"[sheet]"),IFERROR(MATCH(H57,INDIRECT("現場打杭_"&amp;G57&amp;"[設計基準強度]"),-1),1)),"")</f>
        <v/>
      </c>
      <c r="L57" s="3" t="str" cm="1">
        <f t="array" aca="1" ref="L57" ca="1">IFERROR(INDEX(INDIRECT("現場打杭_"&amp;G57&amp;"[cell]"),IFERROR(MATCH(H57,INDIRECT("現場打杭_"&amp;G57&amp;"[設計基準強度]"),-1),1)),"")</f>
        <v/>
      </c>
      <c r="N57" s="5"/>
      <c r="O57" s="5"/>
      <c r="P57" s="5"/>
      <c r="Q57" s="5"/>
      <c r="R57" s="5"/>
      <c r="S57" s="5"/>
      <c r="T57" s="3">
        <f>既製杭[[#This Row],[L]]/1000*既製杭[[#This Row],[員数]]</f>
        <v>0</v>
      </c>
      <c r="U57" s="3" t="str">
        <f>IFERROR(INDEX(既製杭_map[sheet],MATCH(既製杭[[#This Row],[杭種]],既製杭_map[杭種],0)),"")</f>
        <v/>
      </c>
      <c r="V57" s="3" t="str">
        <f>IFERROR(INDEX(既製杭_map[cell],MATCH(既製杭[[#This Row],[杭種]],既製杭_map[杭種],0)),"")</f>
        <v/>
      </c>
      <c r="X57" s="5"/>
      <c r="Y57" s="5"/>
      <c r="Z57" s="5"/>
      <c r="AA57" s="3">
        <f>現場打コンクリート[[#This Row],[数量]]</f>
        <v>0</v>
      </c>
      <c r="AB57" s="3" t="str" cm="1">
        <f t="array" aca="1" ref="AB57" ca="1">IFERROR(INDEX(INDIRECT("現場打コンクリート_"&amp;X57&amp;"[sheet]"),IFERROR(MATCH(Y57,INDIRECT("現場打コンクリート_"&amp;X57&amp;"[設計基準強度]"),-1),1)),"")</f>
        <v/>
      </c>
      <c r="AC57" s="3" t="str" cm="1">
        <f t="array" aca="1" ref="AC57" ca="1">IFERROR(INDEX(INDIRECT("現場打コンクリート_"&amp;X57&amp;"[cell]"),IFERROR(MATCH(Y57,INDIRECT("現場打コンクリート_"&amp;X57&amp;"[設計基準強度]"),-1),1)),"")</f>
        <v/>
      </c>
      <c r="AE57" s="5"/>
      <c r="AF57" s="5"/>
      <c r="AG57" s="3">
        <f>PCaコンクリート_鉄筋無し[[#This Row],[数量]]</f>
        <v>0</v>
      </c>
      <c r="AH5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8" spans="1:35" x14ac:dyDescent="0.65">
      <c r="A58" s="5"/>
      <c r="B58" s="5"/>
      <c r="C58" s="6">
        <f>用途別面積[[#This Row],[床面積]]</f>
        <v>0</v>
      </c>
      <c r="D58" s="6" t="str">
        <f>IFERROR(VLOOKUP(用途別面積[[#This Row],[建物用途]],用途別面積_map[#All],2,FALSE),"")</f>
        <v/>
      </c>
      <c r="E58" s="6" t="str">
        <f>IFERROR(VLOOKUP(用途別面積[[#This Row],[建物用途]],用途別面積_map[#All],3,FALSE),"")</f>
        <v/>
      </c>
      <c r="J58" s="6">
        <f>現場打杭[[#This Row],[コンクリート数量]]</f>
        <v>0</v>
      </c>
      <c r="K58" s="3" t="str" cm="1">
        <f t="array" aca="1" ref="K58" ca="1">IFERROR(INDEX(INDIRECT("現場打杭_"&amp;G58&amp;"[sheet]"),IFERROR(MATCH(H58,INDIRECT("現場打杭_"&amp;G58&amp;"[設計基準強度]"),-1),1)),"")</f>
        <v/>
      </c>
      <c r="L58" s="3" t="str" cm="1">
        <f t="array" aca="1" ref="L58" ca="1">IFERROR(INDEX(INDIRECT("現場打杭_"&amp;G58&amp;"[cell]"),IFERROR(MATCH(H58,INDIRECT("現場打杭_"&amp;G58&amp;"[設計基準強度]"),-1),1)),"")</f>
        <v/>
      </c>
      <c r="N58" s="5"/>
      <c r="O58" s="5"/>
      <c r="P58" s="5"/>
      <c r="Q58" s="5"/>
      <c r="R58" s="5"/>
      <c r="S58" s="5"/>
      <c r="T58" s="3">
        <f>既製杭[[#This Row],[L]]/1000*既製杭[[#This Row],[員数]]</f>
        <v>0</v>
      </c>
      <c r="U58" s="3" t="str">
        <f>IFERROR(INDEX(既製杭_map[sheet],MATCH(既製杭[[#This Row],[杭種]],既製杭_map[杭種],0)),"")</f>
        <v/>
      </c>
      <c r="V58" s="3" t="str">
        <f>IFERROR(INDEX(既製杭_map[cell],MATCH(既製杭[[#This Row],[杭種]],既製杭_map[杭種],0)),"")</f>
        <v/>
      </c>
      <c r="X58" s="5"/>
      <c r="Y58" s="5"/>
      <c r="Z58" s="5"/>
      <c r="AA58" s="3">
        <f>現場打コンクリート[[#This Row],[数量]]</f>
        <v>0</v>
      </c>
      <c r="AB58" s="3" t="str" cm="1">
        <f t="array" aca="1" ref="AB58" ca="1">IFERROR(INDEX(INDIRECT("現場打コンクリート_"&amp;X58&amp;"[sheet]"),IFERROR(MATCH(Y58,INDIRECT("現場打コンクリート_"&amp;X58&amp;"[設計基準強度]"),-1),1)),"")</f>
        <v/>
      </c>
      <c r="AC58" s="3" t="str" cm="1">
        <f t="array" aca="1" ref="AC58" ca="1">IFERROR(INDEX(INDIRECT("現場打コンクリート_"&amp;X58&amp;"[cell]"),IFERROR(MATCH(Y58,INDIRECT("現場打コンクリート_"&amp;X58&amp;"[設計基準強度]"),-1),1)),"")</f>
        <v/>
      </c>
      <c r="AE58" s="5"/>
      <c r="AF58" s="5"/>
      <c r="AG58" s="3">
        <f>PCaコンクリート_鉄筋無し[[#This Row],[数量]]</f>
        <v>0</v>
      </c>
      <c r="AH5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9" spans="1:35" x14ac:dyDescent="0.65">
      <c r="A59" s="5"/>
      <c r="B59" s="5"/>
      <c r="C59" s="6">
        <f>用途別面積[[#This Row],[床面積]]</f>
        <v>0</v>
      </c>
      <c r="D59" s="6" t="str">
        <f>IFERROR(VLOOKUP(用途別面積[[#This Row],[建物用途]],用途別面積_map[#All],2,FALSE),"")</f>
        <v/>
      </c>
      <c r="E59" s="6" t="str">
        <f>IFERROR(VLOOKUP(用途別面積[[#This Row],[建物用途]],用途別面積_map[#All],3,FALSE),"")</f>
        <v/>
      </c>
      <c r="J59" s="6">
        <f>現場打杭[[#This Row],[コンクリート数量]]</f>
        <v>0</v>
      </c>
      <c r="K59" s="3" t="str" cm="1">
        <f t="array" aca="1" ref="K59" ca="1">IFERROR(INDEX(INDIRECT("現場打杭_"&amp;G59&amp;"[sheet]"),IFERROR(MATCH(H59,INDIRECT("現場打杭_"&amp;G59&amp;"[設計基準強度]"),-1),1)),"")</f>
        <v/>
      </c>
      <c r="L59" s="3" t="str" cm="1">
        <f t="array" aca="1" ref="L59" ca="1">IFERROR(INDEX(INDIRECT("現場打杭_"&amp;G59&amp;"[cell]"),IFERROR(MATCH(H59,INDIRECT("現場打杭_"&amp;G59&amp;"[設計基準強度]"),-1),1)),"")</f>
        <v/>
      </c>
      <c r="N59" s="5"/>
      <c r="O59" s="5"/>
      <c r="P59" s="5"/>
      <c r="Q59" s="5"/>
      <c r="R59" s="5"/>
      <c r="S59" s="5"/>
      <c r="T59" s="3">
        <f>既製杭[[#This Row],[L]]/1000*既製杭[[#This Row],[員数]]</f>
        <v>0</v>
      </c>
      <c r="U59" s="3" t="str">
        <f>IFERROR(INDEX(既製杭_map[sheet],MATCH(既製杭[[#This Row],[杭種]],既製杭_map[杭種],0)),"")</f>
        <v/>
      </c>
      <c r="V59" s="3" t="str">
        <f>IFERROR(INDEX(既製杭_map[cell],MATCH(既製杭[[#This Row],[杭種]],既製杭_map[杭種],0)),"")</f>
        <v/>
      </c>
      <c r="X59" s="5"/>
      <c r="Y59" s="5"/>
      <c r="Z59" s="5"/>
      <c r="AA59" s="3">
        <f>現場打コンクリート[[#This Row],[数量]]</f>
        <v>0</v>
      </c>
      <c r="AB59" s="3" t="str" cm="1">
        <f t="array" aca="1" ref="AB59" ca="1">IFERROR(INDEX(INDIRECT("現場打コンクリート_"&amp;X59&amp;"[sheet]"),IFERROR(MATCH(Y59,INDIRECT("現場打コンクリート_"&amp;X59&amp;"[設計基準強度]"),-1),1)),"")</f>
        <v/>
      </c>
      <c r="AC59" s="3" t="str" cm="1">
        <f t="array" aca="1" ref="AC59" ca="1">IFERROR(INDEX(INDIRECT("現場打コンクリート_"&amp;X59&amp;"[cell]"),IFERROR(MATCH(Y59,INDIRECT("現場打コンクリート_"&amp;X59&amp;"[設計基準強度]"),-1),1)),"")</f>
        <v/>
      </c>
      <c r="AE59" s="5"/>
      <c r="AF59" s="5"/>
      <c r="AG59" s="3">
        <f>PCaコンクリート_鉄筋無し[[#This Row],[数量]]</f>
        <v>0</v>
      </c>
      <c r="AH5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0" spans="1:35" x14ac:dyDescent="0.65">
      <c r="A60" s="5"/>
      <c r="B60" s="5"/>
      <c r="C60" s="6">
        <f>用途別面積[[#This Row],[床面積]]</f>
        <v>0</v>
      </c>
      <c r="D60" s="6" t="str">
        <f>IFERROR(VLOOKUP(用途別面積[[#This Row],[建物用途]],用途別面積_map[#All],2,FALSE),"")</f>
        <v/>
      </c>
      <c r="E60" s="6" t="str">
        <f>IFERROR(VLOOKUP(用途別面積[[#This Row],[建物用途]],用途別面積_map[#All],3,FALSE),"")</f>
        <v/>
      </c>
      <c r="J60" s="6">
        <f>現場打杭[[#This Row],[コンクリート数量]]</f>
        <v>0</v>
      </c>
      <c r="K60" s="3" t="str" cm="1">
        <f t="array" aca="1" ref="K60" ca="1">IFERROR(INDEX(INDIRECT("現場打杭_"&amp;G60&amp;"[sheet]"),IFERROR(MATCH(H60,INDIRECT("現場打杭_"&amp;G60&amp;"[設計基準強度]"),-1),1)),"")</f>
        <v/>
      </c>
      <c r="L60" s="3" t="str" cm="1">
        <f t="array" aca="1" ref="L60" ca="1">IFERROR(INDEX(INDIRECT("現場打杭_"&amp;G60&amp;"[cell]"),IFERROR(MATCH(H60,INDIRECT("現場打杭_"&amp;G60&amp;"[設計基準強度]"),-1),1)),"")</f>
        <v/>
      </c>
      <c r="N60" s="5"/>
      <c r="O60" s="5"/>
      <c r="P60" s="5"/>
      <c r="Q60" s="5"/>
      <c r="R60" s="5"/>
      <c r="S60" s="5"/>
      <c r="T60" s="3">
        <f>既製杭[[#This Row],[L]]/1000*既製杭[[#This Row],[員数]]</f>
        <v>0</v>
      </c>
      <c r="U60" s="3" t="str">
        <f>IFERROR(INDEX(既製杭_map[sheet],MATCH(既製杭[[#This Row],[杭種]],既製杭_map[杭種],0)),"")</f>
        <v/>
      </c>
      <c r="V60" s="3" t="str">
        <f>IFERROR(INDEX(既製杭_map[cell],MATCH(既製杭[[#This Row],[杭種]],既製杭_map[杭種],0)),"")</f>
        <v/>
      </c>
      <c r="X60" s="5"/>
      <c r="Y60" s="5"/>
      <c r="Z60" s="5"/>
      <c r="AA60" s="3">
        <f>現場打コンクリート[[#This Row],[数量]]</f>
        <v>0</v>
      </c>
      <c r="AB60" s="3" t="str" cm="1">
        <f t="array" aca="1" ref="AB60" ca="1">IFERROR(INDEX(INDIRECT("現場打コンクリート_"&amp;X60&amp;"[sheet]"),IFERROR(MATCH(Y60,INDIRECT("現場打コンクリート_"&amp;X60&amp;"[設計基準強度]"),-1),1)),"")</f>
        <v/>
      </c>
      <c r="AC60" s="3" t="str" cm="1">
        <f t="array" aca="1" ref="AC60" ca="1">IFERROR(INDEX(INDIRECT("現場打コンクリート_"&amp;X60&amp;"[cell]"),IFERROR(MATCH(Y60,INDIRECT("現場打コンクリート_"&amp;X60&amp;"[設計基準強度]"),-1),1)),"")</f>
        <v/>
      </c>
      <c r="AE60" s="5"/>
      <c r="AF60" s="5"/>
      <c r="AG60" s="3">
        <f>PCaコンクリート_鉄筋無し[[#This Row],[数量]]</f>
        <v>0</v>
      </c>
      <c r="AH6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1" spans="1:35" x14ac:dyDescent="0.65">
      <c r="A61" s="5"/>
      <c r="B61" s="5"/>
      <c r="C61" s="6">
        <f>用途別面積[[#This Row],[床面積]]</f>
        <v>0</v>
      </c>
      <c r="D61" s="6" t="str">
        <f>IFERROR(VLOOKUP(用途別面積[[#This Row],[建物用途]],用途別面積_map[#All],2,FALSE),"")</f>
        <v/>
      </c>
      <c r="E61" s="6" t="str">
        <f>IFERROR(VLOOKUP(用途別面積[[#This Row],[建物用途]],用途別面積_map[#All],3,FALSE),"")</f>
        <v/>
      </c>
      <c r="J61" s="6">
        <f>現場打杭[[#This Row],[コンクリート数量]]</f>
        <v>0</v>
      </c>
      <c r="K61" s="3" t="str" cm="1">
        <f t="array" aca="1" ref="K61" ca="1">IFERROR(INDEX(INDIRECT("現場打杭_"&amp;G61&amp;"[sheet]"),IFERROR(MATCH(H61,INDIRECT("現場打杭_"&amp;G61&amp;"[設計基準強度]"),-1),1)),"")</f>
        <v/>
      </c>
      <c r="L61" s="3" t="str" cm="1">
        <f t="array" aca="1" ref="L61" ca="1">IFERROR(INDEX(INDIRECT("現場打杭_"&amp;G61&amp;"[cell]"),IFERROR(MATCH(H61,INDIRECT("現場打杭_"&amp;G61&amp;"[設計基準強度]"),-1),1)),"")</f>
        <v/>
      </c>
      <c r="N61" s="5"/>
      <c r="O61" s="5"/>
      <c r="P61" s="5"/>
      <c r="Q61" s="5"/>
      <c r="R61" s="5"/>
      <c r="S61" s="5"/>
      <c r="T61" s="3">
        <f>既製杭[[#This Row],[L]]/1000*既製杭[[#This Row],[員数]]</f>
        <v>0</v>
      </c>
      <c r="U61" s="3" t="str">
        <f>IFERROR(INDEX(既製杭_map[sheet],MATCH(既製杭[[#This Row],[杭種]],既製杭_map[杭種],0)),"")</f>
        <v/>
      </c>
      <c r="V61" s="3" t="str">
        <f>IFERROR(INDEX(既製杭_map[cell],MATCH(既製杭[[#This Row],[杭種]],既製杭_map[杭種],0)),"")</f>
        <v/>
      </c>
      <c r="X61" s="5"/>
      <c r="Y61" s="5"/>
      <c r="Z61" s="5"/>
      <c r="AA61" s="3">
        <f>現場打コンクリート[[#This Row],[数量]]</f>
        <v>0</v>
      </c>
      <c r="AB61" s="3" t="str" cm="1">
        <f t="array" aca="1" ref="AB61" ca="1">IFERROR(INDEX(INDIRECT("現場打コンクリート_"&amp;X61&amp;"[sheet]"),IFERROR(MATCH(Y61,INDIRECT("現場打コンクリート_"&amp;X61&amp;"[設計基準強度]"),-1),1)),"")</f>
        <v/>
      </c>
      <c r="AC61" s="3" t="str" cm="1">
        <f t="array" aca="1" ref="AC61" ca="1">IFERROR(INDEX(INDIRECT("現場打コンクリート_"&amp;X61&amp;"[cell]"),IFERROR(MATCH(Y61,INDIRECT("現場打コンクリート_"&amp;X61&amp;"[設計基準強度]"),-1),1)),"")</f>
        <v/>
      </c>
      <c r="AE61" s="5"/>
      <c r="AF61" s="5"/>
      <c r="AG61" s="3">
        <f>PCaコンクリート_鉄筋無し[[#This Row],[数量]]</f>
        <v>0</v>
      </c>
      <c r="AH6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2" spans="1:35" x14ac:dyDescent="0.65">
      <c r="A62" s="5"/>
      <c r="B62" s="5"/>
      <c r="C62" s="6">
        <f>用途別面積[[#This Row],[床面積]]</f>
        <v>0</v>
      </c>
      <c r="D62" s="6" t="str">
        <f>IFERROR(VLOOKUP(用途別面積[[#This Row],[建物用途]],用途別面積_map[#All],2,FALSE),"")</f>
        <v/>
      </c>
      <c r="E62" s="6" t="str">
        <f>IFERROR(VLOOKUP(用途別面積[[#This Row],[建物用途]],用途別面積_map[#All],3,FALSE),"")</f>
        <v/>
      </c>
      <c r="J62" s="6">
        <f>現場打杭[[#This Row],[コンクリート数量]]</f>
        <v>0</v>
      </c>
      <c r="K62" s="3" t="str" cm="1">
        <f t="array" aca="1" ref="K62" ca="1">IFERROR(INDEX(INDIRECT("現場打杭_"&amp;G62&amp;"[sheet]"),IFERROR(MATCH(H62,INDIRECT("現場打杭_"&amp;G62&amp;"[設計基準強度]"),-1),1)),"")</f>
        <v/>
      </c>
      <c r="L62" s="3" t="str" cm="1">
        <f t="array" aca="1" ref="L62" ca="1">IFERROR(INDEX(INDIRECT("現場打杭_"&amp;G62&amp;"[cell]"),IFERROR(MATCH(H62,INDIRECT("現場打杭_"&amp;G62&amp;"[設計基準強度]"),-1),1)),"")</f>
        <v/>
      </c>
      <c r="N62" s="5"/>
      <c r="O62" s="5"/>
      <c r="P62" s="5"/>
      <c r="Q62" s="5"/>
      <c r="R62" s="5"/>
      <c r="S62" s="5"/>
      <c r="T62" s="3">
        <f>既製杭[[#This Row],[L]]/1000*既製杭[[#This Row],[員数]]</f>
        <v>0</v>
      </c>
      <c r="U62" s="3" t="str">
        <f>IFERROR(INDEX(既製杭_map[sheet],MATCH(既製杭[[#This Row],[杭種]],既製杭_map[杭種],0)),"")</f>
        <v/>
      </c>
      <c r="V62" s="3" t="str">
        <f>IFERROR(INDEX(既製杭_map[cell],MATCH(既製杭[[#This Row],[杭種]],既製杭_map[杭種],0)),"")</f>
        <v/>
      </c>
      <c r="X62" s="5"/>
      <c r="Y62" s="5"/>
      <c r="Z62" s="5"/>
      <c r="AA62" s="3">
        <f>現場打コンクリート[[#This Row],[数量]]</f>
        <v>0</v>
      </c>
      <c r="AB62" s="3" t="str" cm="1">
        <f t="array" aca="1" ref="AB62" ca="1">IFERROR(INDEX(INDIRECT("現場打コンクリート_"&amp;X62&amp;"[sheet]"),IFERROR(MATCH(Y62,INDIRECT("現場打コンクリート_"&amp;X62&amp;"[設計基準強度]"),-1),1)),"")</f>
        <v/>
      </c>
      <c r="AC62" s="3" t="str" cm="1">
        <f t="array" aca="1" ref="AC62" ca="1">IFERROR(INDEX(INDIRECT("現場打コンクリート_"&amp;X62&amp;"[cell]"),IFERROR(MATCH(Y62,INDIRECT("現場打コンクリート_"&amp;X62&amp;"[設計基準強度]"),-1),1)),"")</f>
        <v/>
      </c>
      <c r="AE62" s="5"/>
      <c r="AF62" s="5"/>
      <c r="AG62" s="3">
        <f>PCaコンクリート_鉄筋無し[[#This Row],[数量]]</f>
        <v>0</v>
      </c>
      <c r="AH6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3" spans="1:35" x14ac:dyDescent="0.65">
      <c r="A63" s="5"/>
      <c r="B63" s="5"/>
      <c r="C63" s="6">
        <f>用途別面積[[#This Row],[床面積]]</f>
        <v>0</v>
      </c>
      <c r="D63" s="6" t="str">
        <f>IFERROR(VLOOKUP(用途別面積[[#This Row],[建物用途]],用途別面積_map[#All],2,FALSE),"")</f>
        <v/>
      </c>
      <c r="E63" s="6" t="str">
        <f>IFERROR(VLOOKUP(用途別面積[[#This Row],[建物用途]],用途別面積_map[#All],3,FALSE),"")</f>
        <v/>
      </c>
      <c r="J63" s="6">
        <f>現場打杭[[#This Row],[コンクリート数量]]</f>
        <v>0</v>
      </c>
      <c r="K63" s="3" t="str" cm="1">
        <f t="array" aca="1" ref="K63" ca="1">IFERROR(INDEX(INDIRECT("現場打杭_"&amp;G63&amp;"[sheet]"),IFERROR(MATCH(H63,INDIRECT("現場打杭_"&amp;G63&amp;"[設計基準強度]"),-1),1)),"")</f>
        <v/>
      </c>
      <c r="L63" s="3" t="str" cm="1">
        <f t="array" aca="1" ref="L63" ca="1">IFERROR(INDEX(INDIRECT("現場打杭_"&amp;G63&amp;"[cell]"),IFERROR(MATCH(H63,INDIRECT("現場打杭_"&amp;G63&amp;"[設計基準強度]"),-1),1)),"")</f>
        <v/>
      </c>
      <c r="N63" s="5"/>
      <c r="O63" s="5"/>
      <c r="P63" s="5"/>
      <c r="Q63" s="5"/>
      <c r="R63" s="5"/>
      <c r="S63" s="5"/>
      <c r="T63" s="3">
        <f>既製杭[[#This Row],[L]]/1000*既製杭[[#This Row],[員数]]</f>
        <v>0</v>
      </c>
      <c r="U63" s="3" t="str">
        <f>IFERROR(INDEX(既製杭_map[sheet],MATCH(既製杭[[#This Row],[杭種]],既製杭_map[杭種],0)),"")</f>
        <v/>
      </c>
      <c r="V63" s="3" t="str">
        <f>IFERROR(INDEX(既製杭_map[cell],MATCH(既製杭[[#This Row],[杭種]],既製杭_map[杭種],0)),"")</f>
        <v/>
      </c>
      <c r="X63" s="5"/>
      <c r="Y63" s="5"/>
      <c r="Z63" s="5"/>
      <c r="AA63" s="3">
        <f>現場打コンクリート[[#This Row],[数量]]</f>
        <v>0</v>
      </c>
      <c r="AB63" s="3" t="str" cm="1">
        <f t="array" aca="1" ref="AB63" ca="1">IFERROR(INDEX(INDIRECT("現場打コンクリート_"&amp;X63&amp;"[sheet]"),IFERROR(MATCH(Y63,INDIRECT("現場打コンクリート_"&amp;X63&amp;"[設計基準強度]"),-1),1)),"")</f>
        <v/>
      </c>
      <c r="AC63" s="3" t="str" cm="1">
        <f t="array" aca="1" ref="AC63" ca="1">IFERROR(INDEX(INDIRECT("現場打コンクリート_"&amp;X63&amp;"[cell]"),IFERROR(MATCH(Y63,INDIRECT("現場打コンクリート_"&amp;X63&amp;"[設計基準強度]"),-1),1)),"")</f>
        <v/>
      </c>
      <c r="AE63" s="5"/>
      <c r="AF63" s="5"/>
      <c r="AG63" s="3">
        <f>PCaコンクリート_鉄筋無し[[#This Row],[数量]]</f>
        <v>0</v>
      </c>
      <c r="AH6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4" spans="1:35" x14ac:dyDescent="0.65">
      <c r="A64" s="5"/>
      <c r="B64" s="5"/>
      <c r="C64" s="6">
        <f>用途別面積[[#This Row],[床面積]]</f>
        <v>0</v>
      </c>
      <c r="D64" s="6" t="str">
        <f>IFERROR(VLOOKUP(用途別面積[[#This Row],[建物用途]],用途別面積_map[#All],2,FALSE),"")</f>
        <v/>
      </c>
      <c r="E64" s="6" t="str">
        <f>IFERROR(VLOOKUP(用途別面積[[#This Row],[建物用途]],用途別面積_map[#All],3,FALSE),"")</f>
        <v/>
      </c>
      <c r="J64" s="6">
        <f>現場打杭[[#This Row],[コンクリート数量]]</f>
        <v>0</v>
      </c>
      <c r="K64" s="3" t="str" cm="1">
        <f t="array" aca="1" ref="K64" ca="1">IFERROR(INDEX(INDIRECT("現場打杭_"&amp;G64&amp;"[sheet]"),IFERROR(MATCH(H64,INDIRECT("現場打杭_"&amp;G64&amp;"[設計基準強度]"),-1),1)),"")</f>
        <v/>
      </c>
      <c r="L64" s="3" t="str" cm="1">
        <f t="array" aca="1" ref="L64" ca="1">IFERROR(INDEX(INDIRECT("現場打杭_"&amp;G64&amp;"[cell]"),IFERROR(MATCH(H64,INDIRECT("現場打杭_"&amp;G64&amp;"[設計基準強度]"),-1),1)),"")</f>
        <v/>
      </c>
      <c r="N64" s="5"/>
      <c r="O64" s="5"/>
      <c r="P64" s="5"/>
      <c r="Q64" s="5"/>
      <c r="R64" s="5"/>
      <c r="S64" s="5"/>
      <c r="T64" s="3">
        <f>既製杭[[#This Row],[L]]/1000*既製杭[[#This Row],[員数]]</f>
        <v>0</v>
      </c>
      <c r="U64" s="3" t="str">
        <f>IFERROR(INDEX(既製杭_map[sheet],MATCH(既製杭[[#This Row],[杭種]],既製杭_map[杭種],0)),"")</f>
        <v/>
      </c>
      <c r="V64" s="3" t="str">
        <f>IFERROR(INDEX(既製杭_map[cell],MATCH(既製杭[[#This Row],[杭種]],既製杭_map[杭種],0)),"")</f>
        <v/>
      </c>
      <c r="X64" s="5"/>
      <c r="Y64" s="5"/>
      <c r="Z64" s="5"/>
      <c r="AA64" s="3">
        <f>現場打コンクリート[[#This Row],[数量]]</f>
        <v>0</v>
      </c>
      <c r="AB64" s="3" t="str" cm="1">
        <f t="array" aca="1" ref="AB64" ca="1">IFERROR(INDEX(INDIRECT("現場打コンクリート_"&amp;X64&amp;"[sheet]"),IFERROR(MATCH(Y64,INDIRECT("現場打コンクリート_"&amp;X64&amp;"[設計基準強度]"),-1),1)),"")</f>
        <v/>
      </c>
      <c r="AC64" s="3" t="str" cm="1">
        <f t="array" aca="1" ref="AC64" ca="1">IFERROR(INDEX(INDIRECT("現場打コンクリート_"&amp;X64&amp;"[cell]"),IFERROR(MATCH(Y64,INDIRECT("現場打コンクリート_"&amp;X64&amp;"[設計基準強度]"),-1),1)),"")</f>
        <v/>
      </c>
      <c r="AE64" s="5"/>
      <c r="AF64" s="5"/>
      <c r="AG64" s="3">
        <f>PCaコンクリート_鉄筋無し[[#This Row],[数量]]</f>
        <v>0</v>
      </c>
      <c r="AH6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5" spans="1:35" x14ac:dyDescent="0.65">
      <c r="A65" s="5"/>
      <c r="B65" s="5"/>
      <c r="C65" s="6">
        <f>用途別面積[[#This Row],[床面積]]</f>
        <v>0</v>
      </c>
      <c r="D65" s="6" t="str">
        <f>IFERROR(VLOOKUP(用途別面積[[#This Row],[建物用途]],用途別面積_map[#All],2,FALSE),"")</f>
        <v/>
      </c>
      <c r="E65" s="6" t="str">
        <f>IFERROR(VLOOKUP(用途別面積[[#This Row],[建物用途]],用途別面積_map[#All],3,FALSE),"")</f>
        <v/>
      </c>
      <c r="J65" s="6">
        <f>現場打杭[[#This Row],[コンクリート数量]]</f>
        <v>0</v>
      </c>
      <c r="K65" s="3" t="str" cm="1">
        <f t="array" aca="1" ref="K65" ca="1">IFERROR(INDEX(INDIRECT("現場打杭_"&amp;G65&amp;"[sheet]"),IFERROR(MATCH(H65,INDIRECT("現場打杭_"&amp;G65&amp;"[設計基準強度]"),-1),1)),"")</f>
        <v/>
      </c>
      <c r="L65" s="3" t="str" cm="1">
        <f t="array" aca="1" ref="L65" ca="1">IFERROR(INDEX(INDIRECT("現場打杭_"&amp;G65&amp;"[cell]"),IFERROR(MATCH(H65,INDIRECT("現場打杭_"&amp;G65&amp;"[設計基準強度]"),-1),1)),"")</f>
        <v/>
      </c>
      <c r="N65" s="5"/>
      <c r="O65" s="5"/>
      <c r="P65" s="5"/>
      <c r="Q65" s="5"/>
      <c r="R65" s="5"/>
      <c r="S65" s="5"/>
      <c r="T65" s="3">
        <f>既製杭[[#This Row],[L]]/1000*既製杭[[#This Row],[員数]]</f>
        <v>0</v>
      </c>
      <c r="U65" s="3" t="str">
        <f>IFERROR(INDEX(既製杭_map[sheet],MATCH(既製杭[[#This Row],[杭種]],既製杭_map[杭種],0)),"")</f>
        <v/>
      </c>
      <c r="V65" s="3" t="str">
        <f>IFERROR(INDEX(既製杭_map[cell],MATCH(既製杭[[#This Row],[杭種]],既製杭_map[杭種],0)),"")</f>
        <v/>
      </c>
      <c r="X65" s="5"/>
      <c r="Y65" s="5"/>
      <c r="Z65" s="5"/>
      <c r="AA65" s="3">
        <f>現場打コンクリート[[#This Row],[数量]]</f>
        <v>0</v>
      </c>
      <c r="AB65" s="3" t="str" cm="1">
        <f t="array" aca="1" ref="AB65" ca="1">IFERROR(INDEX(INDIRECT("現場打コンクリート_"&amp;X65&amp;"[sheet]"),IFERROR(MATCH(Y65,INDIRECT("現場打コンクリート_"&amp;X65&amp;"[設計基準強度]"),-1),1)),"")</f>
        <v/>
      </c>
      <c r="AC65" s="3" t="str" cm="1">
        <f t="array" aca="1" ref="AC65" ca="1">IFERROR(INDEX(INDIRECT("現場打コンクリート_"&amp;X65&amp;"[cell]"),IFERROR(MATCH(Y65,INDIRECT("現場打コンクリート_"&amp;X65&amp;"[設計基準強度]"),-1),1)),"")</f>
        <v/>
      </c>
      <c r="AE65" s="5"/>
      <c r="AF65" s="5"/>
      <c r="AG65" s="3">
        <f>PCaコンクリート_鉄筋無し[[#This Row],[数量]]</f>
        <v>0</v>
      </c>
      <c r="AH6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6" spans="1:35" x14ac:dyDescent="0.65">
      <c r="A66" s="5"/>
      <c r="B66" s="5"/>
      <c r="C66" s="6">
        <f>用途別面積[[#This Row],[床面積]]</f>
        <v>0</v>
      </c>
      <c r="D66" s="6" t="str">
        <f>IFERROR(VLOOKUP(用途別面積[[#This Row],[建物用途]],用途別面積_map[#All],2,FALSE),"")</f>
        <v/>
      </c>
      <c r="E66" s="6" t="str">
        <f>IFERROR(VLOOKUP(用途別面積[[#This Row],[建物用途]],用途別面積_map[#All],3,FALSE),"")</f>
        <v/>
      </c>
      <c r="J66" s="6">
        <f>現場打杭[[#This Row],[コンクリート数量]]</f>
        <v>0</v>
      </c>
      <c r="K66" s="3" t="str" cm="1">
        <f t="array" aca="1" ref="K66" ca="1">IFERROR(INDEX(INDIRECT("現場打杭_"&amp;G66&amp;"[sheet]"),IFERROR(MATCH(H66,INDIRECT("現場打杭_"&amp;G66&amp;"[設計基準強度]"),-1),1)),"")</f>
        <v/>
      </c>
      <c r="L66" s="3" t="str" cm="1">
        <f t="array" aca="1" ref="L66" ca="1">IFERROR(INDEX(INDIRECT("現場打杭_"&amp;G66&amp;"[cell]"),IFERROR(MATCH(H66,INDIRECT("現場打杭_"&amp;G66&amp;"[設計基準強度]"),-1),1)),"")</f>
        <v/>
      </c>
      <c r="N66" s="5"/>
      <c r="O66" s="5"/>
      <c r="P66" s="5"/>
      <c r="Q66" s="5"/>
      <c r="R66" s="5"/>
      <c r="S66" s="5"/>
      <c r="T66" s="3">
        <f>既製杭[[#This Row],[L]]/1000*既製杭[[#This Row],[員数]]</f>
        <v>0</v>
      </c>
      <c r="U66" s="3" t="str">
        <f>IFERROR(INDEX(既製杭_map[sheet],MATCH(既製杭[[#This Row],[杭種]],既製杭_map[杭種],0)),"")</f>
        <v/>
      </c>
      <c r="V66" s="3" t="str">
        <f>IFERROR(INDEX(既製杭_map[cell],MATCH(既製杭[[#This Row],[杭種]],既製杭_map[杭種],0)),"")</f>
        <v/>
      </c>
      <c r="X66" s="5"/>
      <c r="Y66" s="5"/>
      <c r="Z66" s="5"/>
      <c r="AA66" s="3">
        <f>現場打コンクリート[[#This Row],[数量]]</f>
        <v>0</v>
      </c>
      <c r="AB66" s="3" t="str" cm="1">
        <f t="array" aca="1" ref="AB66" ca="1">IFERROR(INDEX(INDIRECT("現場打コンクリート_"&amp;X66&amp;"[sheet]"),IFERROR(MATCH(Y66,INDIRECT("現場打コンクリート_"&amp;X66&amp;"[設計基準強度]"),-1),1)),"")</f>
        <v/>
      </c>
      <c r="AC66" s="3" t="str" cm="1">
        <f t="array" aca="1" ref="AC66" ca="1">IFERROR(INDEX(INDIRECT("現場打コンクリート_"&amp;X66&amp;"[cell]"),IFERROR(MATCH(Y66,INDIRECT("現場打コンクリート_"&amp;X66&amp;"[設計基準強度]"),-1),1)),"")</f>
        <v/>
      </c>
      <c r="AE66" s="5"/>
      <c r="AF66" s="5"/>
      <c r="AG66" s="3">
        <f>PCaコンクリート_鉄筋無し[[#This Row],[数量]]</f>
        <v>0</v>
      </c>
      <c r="AH6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7" spans="1:35" x14ac:dyDescent="0.65">
      <c r="A67" s="5"/>
      <c r="B67" s="5"/>
      <c r="C67" s="6">
        <f>用途別面積[[#This Row],[床面積]]</f>
        <v>0</v>
      </c>
      <c r="D67" s="6" t="str">
        <f>IFERROR(VLOOKUP(用途別面積[[#This Row],[建物用途]],用途別面積_map[#All],2,FALSE),"")</f>
        <v/>
      </c>
      <c r="E67" s="6" t="str">
        <f>IFERROR(VLOOKUP(用途別面積[[#This Row],[建物用途]],用途別面積_map[#All],3,FALSE),"")</f>
        <v/>
      </c>
      <c r="J67" s="6">
        <f>現場打杭[[#This Row],[コンクリート数量]]</f>
        <v>0</v>
      </c>
      <c r="K67" s="3" t="str" cm="1">
        <f t="array" aca="1" ref="K67" ca="1">IFERROR(INDEX(INDIRECT("現場打杭_"&amp;G67&amp;"[sheet]"),IFERROR(MATCH(H67,INDIRECT("現場打杭_"&amp;G67&amp;"[設計基準強度]"),-1),1)),"")</f>
        <v/>
      </c>
      <c r="L67" s="3" t="str" cm="1">
        <f t="array" aca="1" ref="L67" ca="1">IFERROR(INDEX(INDIRECT("現場打杭_"&amp;G67&amp;"[cell]"),IFERROR(MATCH(H67,INDIRECT("現場打杭_"&amp;G67&amp;"[設計基準強度]"),-1),1)),"")</f>
        <v/>
      </c>
      <c r="N67" s="5"/>
      <c r="O67" s="5"/>
      <c r="P67" s="5"/>
      <c r="Q67" s="5"/>
      <c r="R67" s="5"/>
      <c r="S67" s="5"/>
      <c r="T67" s="3">
        <f>既製杭[[#This Row],[L]]/1000*既製杭[[#This Row],[員数]]</f>
        <v>0</v>
      </c>
      <c r="U67" s="3" t="str">
        <f>IFERROR(INDEX(既製杭_map[sheet],MATCH(既製杭[[#This Row],[杭種]],既製杭_map[杭種],0)),"")</f>
        <v/>
      </c>
      <c r="V67" s="3" t="str">
        <f>IFERROR(INDEX(既製杭_map[cell],MATCH(既製杭[[#This Row],[杭種]],既製杭_map[杭種],0)),"")</f>
        <v/>
      </c>
      <c r="X67" s="5"/>
      <c r="Y67" s="5"/>
      <c r="Z67" s="5"/>
      <c r="AA67" s="3">
        <f>現場打コンクリート[[#This Row],[数量]]</f>
        <v>0</v>
      </c>
      <c r="AB67" s="3" t="str" cm="1">
        <f t="array" aca="1" ref="AB67" ca="1">IFERROR(INDEX(INDIRECT("現場打コンクリート_"&amp;X67&amp;"[sheet]"),IFERROR(MATCH(Y67,INDIRECT("現場打コンクリート_"&amp;X67&amp;"[設計基準強度]"),-1),1)),"")</f>
        <v/>
      </c>
      <c r="AC67" s="3" t="str" cm="1">
        <f t="array" aca="1" ref="AC67" ca="1">IFERROR(INDEX(INDIRECT("現場打コンクリート_"&amp;X67&amp;"[cell]"),IFERROR(MATCH(Y67,INDIRECT("現場打コンクリート_"&amp;X67&amp;"[設計基準強度]"),-1),1)),"")</f>
        <v/>
      </c>
      <c r="AE67" s="5"/>
      <c r="AF67" s="5"/>
      <c r="AG67" s="3">
        <f>PCaコンクリート_鉄筋無し[[#This Row],[数量]]</f>
        <v>0</v>
      </c>
      <c r="AH6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8" spans="1:35" x14ac:dyDescent="0.65">
      <c r="A68" s="5"/>
      <c r="B68" s="5"/>
      <c r="C68" s="6">
        <f>用途別面積[[#This Row],[床面積]]</f>
        <v>0</v>
      </c>
      <c r="D68" s="6" t="str">
        <f>IFERROR(VLOOKUP(用途別面積[[#This Row],[建物用途]],用途別面積_map[#All],2,FALSE),"")</f>
        <v/>
      </c>
      <c r="E68" s="6" t="str">
        <f>IFERROR(VLOOKUP(用途別面積[[#This Row],[建物用途]],用途別面積_map[#All],3,FALSE),"")</f>
        <v/>
      </c>
      <c r="J68" s="6">
        <f>現場打杭[[#This Row],[コンクリート数量]]</f>
        <v>0</v>
      </c>
      <c r="K68" s="3" t="str" cm="1">
        <f t="array" aca="1" ref="K68" ca="1">IFERROR(INDEX(INDIRECT("現場打杭_"&amp;G68&amp;"[sheet]"),IFERROR(MATCH(H68,INDIRECT("現場打杭_"&amp;G68&amp;"[設計基準強度]"),-1),1)),"")</f>
        <v/>
      </c>
      <c r="L68" s="3" t="str" cm="1">
        <f t="array" aca="1" ref="L68" ca="1">IFERROR(INDEX(INDIRECT("現場打杭_"&amp;G68&amp;"[cell]"),IFERROR(MATCH(H68,INDIRECT("現場打杭_"&amp;G68&amp;"[設計基準強度]"),-1),1)),"")</f>
        <v/>
      </c>
      <c r="N68" s="5"/>
      <c r="O68" s="5"/>
      <c r="P68" s="5"/>
      <c r="Q68" s="5"/>
      <c r="R68" s="5"/>
      <c r="S68" s="5"/>
      <c r="T68" s="3">
        <f>既製杭[[#This Row],[L]]/1000*既製杭[[#This Row],[員数]]</f>
        <v>0</v>
      </c>
      <c r="U68" s="3" t="str">
        <f>IFERROR(INDEX(既製杭_map[sheet],MATCH(既製杭[[#This Row],[杭種]],既製杭_map[杭種],0)),"")</f>
        <v/>
      </c>
      <c r="V68" s="3" t="str">
        <f>IFERROR(INDEX(既製杭_map[cell],MATCH(既製杭[[#This Row],[杭種]],既製杭_map[杭種],0)),"")</f>
        <v/>
      </c>
      <c r="X68" s="5"/>
      <c r="Y68" s="5"/>
      <c r="Z68" s="5"/>
      <c r="AA68" s="3">
        <f>現場打コンクリート[[#This Row],[数量]]</f>
        <v>0</v>
      </c>
      <c r="AB68" s="3" t="str" cm="1">
        <f t="array" aca="1" ref="AB68" ca="1">IFERROR(INDEX(INDIRECT("現場打コンクリート_"&amp;X68&amp;"[sheet]"),IFERROR(MATCH(Y68,INDIRECT("現場打コンクリート_"&amp;X68&amp;"[設計基準強度]"),-1),1)),"")</f>
        <v/>
      </c>
      <c r="AC68" s="3" t="str" cm="1">
        <f t="array" aca="1" ref="AC68" ca="1">IFERROR(INDEX(INDIRECT("現場打コンクリート_"&amp;X68&amp;"[cell]"),IFERROR(MATCH(Y68,INDIRECT("現場打コンクリート_"&amp;X68&amp;"[設計基準強度]"),-1),1)),"")</f>
        <v/>
      </c>
      <c r="AE68" s="5"/>
      <c r="AF68" s="5"/>
      <c r="AG68" s="3">
        <f>PCaコンクリート_鉄筋無し[[#This Row],[数量]]</f>
        <v>0</v>
      </c>
      <c r="AH6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9" spans="1:35" x14ac:dyDescent="0.65">
      <c r="A69" s="5"/>
      <c r="B69" s="5"/>
      <c r="C69" s="6">
        <f>用途別面積[[#This Row],[床面積]]</f>
        <v>0</v>
      </c>
      <c r="D69" s="6" t="str">
        <f>IFERROR(VLOOKUP(用途別面積[[#This Row],[建物用途]],用途別面積_map[#All],2,FALSE),"")</f>
        <v/>
      </c>
      <c r="E69" s="6" t="str">
        <f>IFERROR(VLOOKUP(用途別面積[[#This Row],[建物用途]],用途別面積_map[#All],3,FALSE),"")</f>
        <v/>
      </c>
      <c r="J69" s="6">
        <f>現場打杭[[#This Row],[コンクリート数量]]</f>
        <v>0</v>
      </c>
      <c r="K69" s="3" t="str" cm="1">
        <f t="array" aca="1" ref="K69" ca="1">IFERROR(INDEX(INDIRECT("現場打杭_"&amp;G69&amp;"[sheet]"),IFERROR(MATCH(H69,INDIRECT("現場打杭_"&amp;G69&amp;"[設計基準強度]"),-1),1)),"")</f>
        <v/>
      </c>
      <c r="L69" s="3" t="str" cm="1">
        <f t="array" aca="1" ref="L69" ca="1">IFERROR(INDEX(INDIRECT("現場打杭_"&amp;G69&amp;"[cell]"),IFERROR(MATCH(H69,INDIRECT("現場打杭_"&amp;G69&amp;"[設計基準強度]"),-1),1)),"")</f>
        <v/>
      </c>
      <c r="N69" s="5"/>
      <c r="O69" s="5"/>
      <c r="P69" s="5"/>
      <c r="Q69" s="5"/>
      <c r="R69" s="5"/>
      <c r="S69" s="5"/>
      <c r="T69" s="3">
        <f>既製杭[[#This Row],[L]]/1000*既製杭[[#This Row],[員数]]</f>
        <v>0</v>
      </c>
      <c r="U69" s="3" t="str">
        <f>IFERROR(INDEX(既製杭_map[sheet],MATCH(既製杭[[#This Row],[杭種]],既製杭_map[杭種],0)),"")</f>
        <v/>
      </c>
      <c r="V69" s="3" t="str">
        <f>IFERROR(INDEX(既製杭_map[cell],MATCH(既製杭[[#This Row],[杭種]],既製杭_map[杭種],0)),"")</f>
        <v/>
      </c>
      <c r="X69" s="5"/>
      <c r="Y69" s="5"/>
      <c r="Z69" s="5"/>
      <c r="AA69" s="3">
        <f>現場打コンクリート[[#This Row],[数量]]</f>
        <v>0</v>
      </c>
      <c r="AB69" s="3" t="str" cm="1">
        <f t="array" aca="1" ref="AB69" ca="1">IFERROR(INDEX(INDIRECT("現場打コンクリート_"&amp;X69&amp;"[sheet]"),IFERROR(MATCH(Y69,INDIRECT("現場打コンクリート_"&amp;X69&amp;"[設計基準強度]"),-1),1)),"")</f>
        <v/>
      </c>
      <c r="AC69" s="3" t="str" cm="1">
        <f t="array" aca="1" ref="AC69" ca="1">IFERROR(INDEX(INDIRECT("現場打コンクリート_"&amp;X69&amp;"[cell]"),IFERROR(MATCH(Y69,INDIRECT("現場打コンクリート_"&amp;X69&amp;"[設計基準強度]"),-1),1)),"")</f>
        <v/>
      </c>
      <c r="AE69" s="5"/>
      <c r="AF69" s="5"/>
      <c r="AG69" s="3">
        <f>PCaコンクリート_鉄筋無し[[#This Row],[数量]]</f>
        <v>0</v>
      </c>
      <c r="AH6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0" spans="1:35" x14ac:dyDescent="0.65">
      <c r="A70" s="5"/>
      <c r="B70" s="5"/>
      <c r="C70" s="6">
        <f>用途別面積[[#This Row],[床面積]]</f>
        <v>0</v>
      </c>
      <c r="D70" s="6" t="str">
        <f>IFERROR(VLOOKUP(用途別面積[[#This Row],[建物用途]],用途別面積_map[#All],2,FALSE),"")</f>
        <v/>
      </c>
      <c r="E70" s="6" t="str">
        <f>IFERROR(VLOOKUP(用途別面積[[#This Row],[建物用途]],用途別面積_map[#All],3,FALSE),"")</f>
        <v/>
      </c>
      <c r="J70" s="6">
        <f>現場打杭[[#This Row],[コンクリート数量]]</f>
        <v>0</v>
      </c>
      <c r="K70" s="3" t="str" cm="1">
        <f t="array" aca="1" ref="K70" ca="1">IFERROR(INDEX(INDIRECT("現場打杭_"&amp;G70&amp;"[sheet]"),IFERROR(MATCH(H70,INDIRECT("現場打杭_"&amp;G70&amp;"[設計基準強度]"),-1),1)),"")</f>
        <v/>
      </c>
      <c r="L70" s="3" t="str" cm="1">
        <f t="array" aca="1" ref="L70" ca="1">IFERROR(INDEX(INDIRECT("現場打杭_"&amp;G70&amp;"[cell]"),IFERROR(MATCH(H70,INDIRECT("現場打杭_"&amp;G70&amp;"[設計基準強度]"),-1),1)),"")</f>
        <v/>
      </c>
      <c r="N70" s="5"/>
      <c r="O70" s="5"/>
      <c r="P70" s="5"/>
      <c r="Q70" s="5"/>
      <c r="R70" s="5"/>
      <c r="S70" s="5"/>
      <c r="T70" s="3">
        <f>既製杭[[#This Row],[L]]/1000*既製杭[[#This Row],[員数]]</f>
        <v>0</v>
      </c>
      <c r="U70" s="3" t="str">
        <f>IFERROR(INDEX(既製杭_map[sheet],MATCH(既製杭[[#This Row],[杭種]],既製杭_map[杭種],0)),"")</f>
        <v/>
      </c>
      <c r="V70" s="3" t="str">
        <f>IFERROR(INDEX(既製杭_map[cell],MATCH(既製杭[[#This Row],[杭種]],既製杭_map[杭種],0)),"")</f>
        <v/>
      </c>
      <c r="X70" s="5"/>
      <c r="Y70" s="5"/>
      <c r="Z70" s="5"/>
      <c r="AA70" s="3">
        <f>現場打コンクリート[[#This Row],[数量]]</f>
        <v>0</v>
      </c>
      <c r="AB70" s="3" t="str" cm="1">
        <f t="array" aca="1" ref="AB70" ca="1">IFERROR(INDEX(INDIRECT("現場打コンクリート_"&amp;X70&amp;"[sheet]"),IFERROR(MATCH(Y70,INDIRECT("現場打コンクリート_"&amp;X70&amp;"[設計基準強度]"),-1),1)),"")</f>
        <v/>
      </c>
      <c r="AC70" s="3" t="str" cm="1">
        <f t="array" aca="1" ref="AC70" ca="1">IFERROR(INDEX(INDIRECT("現場打コンクリート_"&amp;X70&amp;"[cell]"),IFERROR(MATCH(Y70,INDIRECT("現場打コンクリート_"&amp;X70&amp;"[設計基準強度]"),-1),1)),"")</f>
        <v/>
      </c>
      <c r="AE70" s="5"/>
      <c r="AF70" s="5"/>
      <c r="AG70" s="3">
        <f>PCaコンクリート_鉄筋無し[[#This Row],[数量]]</f>
        <v>0</v>
      </c>
      <c r="AH7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1" spans="1:35" x14ac:dyDescent="0.65">
      <c r="A71" s="5"/>
      <c r="B71" s="5"/>
      <c r="C71" s="6">
        <f>用途別面積[[#This Row],[床面積]]</f>
        <v>0</v>
      </c>
      <c r="D71" s="6" t="str">
        <f>IFERROR(VLOOKUP(用途別面積[[#This Row],[建物用途]],用途別面積_map[#All],2,FALSE),"")</f>
        <v/>
      </c>
      <c r="E71" s="6" t="str">
        <f>IFERROR(VLOOKUP(用途別面積[[#This Row],[建物用途]],用途別面積_map[#All],3,FALSE),"")</f>
        <v/>
      </c>
      <c r="J71" s="6">
        <f>現場打杭[[#This Row],[コンクリート数量]]</f>
        <v>0</v>
      </c>
      <c r="K71" s="3" t="str" cm="1">
        <f t="array" aca="1" ref="K71" ca="1">IFERROR(INDEX(INDIRECT("現場打杭_"&amp;G71&amp;"[sheet]"),IFERROR(MATCH(H71,INDIRECT("現場打杭_"&amp;G71&amp;"[設計基準強度]"),-1),1)),"")</f>
        <v/>
      </c>
      <c r="L71" s="3" t="str" cm="1">
        <f t="array" aca="1" ref="L71" ca="1">IFERROR(INDEX(INDIRECT("現場打杭_"&amp;G71&amp;"[cell]"),IFERROR(MATCH(H71,INDIRECT("現場打杭_"&amp;G71&amp;"[設計基準強度]"),-1),1)),"")</f>
        <v/>
      </c>
      <c r="N71" s="5"/>
      <c r="O71" s="5"/>
      <c r="P71" s="5"/>
      <c r="Q71" s="5"/>
      <c r="R71" s="5"/>
      <c r="S71" s="5"/>
      <c r="T71" s="3">
        <f>既製杭[[#This Row],[L]]/1000*既製杭[[#This Row],[員数]]</f>
        <v>0</v>
      </c>
      <c r="U71" s="3" t="str">
        <f>IFERROR(INDEX(既製杭_map[sheet],MATCH(既製杭[[#This Row],[杭種]],既製杭_map[杭種],0)),"")</f>
        <v/>
      </c>
      <c r="V71" s="3" t="str">
        <f>IFERROR(INDEX(既製杭_map[cell],MATCH(既製杭[[#This Row],[杭種]],既製杭_map[杭種],0)),"")</f>
        <v/>
      </c>
      <c r="X71" s="5"/>
      <c r="Y71" s="5"/>
      <c r="Z71" s="5"/>
      <c r="AA71" s="3">
        <f>現場打コンクリート[[#This Row],[数量]]</f>
        <v>0</v>
      </c>
      <c r="AB71" s="3" t="str" cm="1">
        <f t="array" aca="1" ref="AB71" ca="1">IFERROR(INDEX(INDIRECT("現場打コンクリート_"&amp;X71&amp;"[sheet]"),IFERROR(MATCH(Y71,INDIRECT("現場打コンクリート_"&amp;X71&amp;"[設計基準強度]"),-1),1)),"")</f>
        <v/>
      </c>
      <c r="AC71" s="3" t="str" cm="1">
        <f t="array" aca="1" ref="AC71" ca="1">IFERROR(INDEX(INDIRECT("現場打コンクリート_"&amp;X71&amp;"[cell]"),IFERROR(MATCH(Y71,INDIRECT("現場打コンクリート_"&amp;X71&amp;"[設計基準強度]"),-1),1)),"")</f>
        <v/>
      </c>
      <c r="AE71" s="5"/>
      <c r="AF71" s="5"/>
      <c r="AG71" s="3">
        <f>PCaコンクリート_鉄筋無し[[#This Row],[数量]]</f>
        <v>0</v>
      </c>
      <c r="AH7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2" spans="1:35" x14ac:dyDescent="0.65">
      <c r="A72" s="5"/>
      <c r="B72" s="5"/>
      <c r="C72" s="6">
        <f>用途別面積[[#This Row],[床面積]]</f>
        <v>0</v>
      </c>
      <c r="D72" s="6" t="str">
        <f>IFERROR(VLOOKUP(用途別面積[[#This Row],[建物用途]],用途別面積_map[#All],2,FALSE),"")</f>
        <v/>
      </c>
      <c r="E72" s="6" t="str">
        <f>IFERROR(VLOOKUP(用途別面積[[#This Row],[建物用途]],用途別面積_map[#All],3,FALSE),"")</f>
        <v/>
      </c>
      <c r="J72" s="6">
        <f>現場打杭[[#This Row],[コンクリート数量]]</f>
        <v>0</v>
      </c>
      <c r="K72" s="3" t="str" cm="1">
        <f t="array" aca="1" ref="K72" ca="1">IFERROR(INDEX(INDIRECT("現場打杭_"&amp;G72&amp;"[sheet]"),IFERROR(MATCH(H72,INDIRECT("現場打杭_"&amp;G72&amp;"[設計基準強度]"),-1),1)),"")</f>
        <v/>
      </c>
      <c r="L72" s="3" t="str" cm="1">
        <f t="array" aca="1" ref="L72" ca="1">IFERROR(INDEX(INDIRECT("現場打杭_"&amp;G72&amp;"[cell]"),IFERROR(MATCH(H72,INDIRECT("現場打杭_"&amp;G72&amp;"[設計基準強度]"),-1),1)),"")</f>
        <v/>
      </c>
      <c r="N72" s="5"/>
      <c r="O72" s="5"/>
      <c r="P72" s="5"/>
      <c r="Q72" s="5"/>
      <c r="R72" s="5"/>
      <c r="S72" s="5"/>
      <c r="T72" s="3">
        <f>既製杭[[#This Row],[L]]/1000*既製杭[[#This Row],[員数]]</f>
        <v>0</v>
      </c>
      <c r="U72" s="3" t="str">
        <f>IFERROR(INDEX(既製杭_map[sheet],MATCH(既製杭[[#This Row],[杭種]],既製杭_map[杭種],0)),"")</f>
        <v/>
      </c>
      <c r="V72" s="3" t="str">
        <f>IFERROR(INDEX(既製杭_map[cell],MATCH(既製杭[[#This Row],[杭種]],既製杭_map[杭種],0)),"")</f>
        <v/>
      </c>
      <c r="X72" s="5"/>
      <c r="Y72" s="5"/>
      <c r="Z72" s="5"/>
      <c r="AA72" s="3">
        <f>現場打コンクリート[[#This Row],[数量]]</f>
        <v>0</v>
      </c>
      <c r="AB72" s="3" t="str" cm="1">
        <f t="array" aca="1" ref="AB72" ca="1">IFERROR(INDEX(INDIRECT("現場打コンクリート_"&amp;X72&amp;"[sheet]"),IFERROR(MATCH(Y72,INDIRECT("現場打コンクリート_"&amp;X72&amp;"[設計基準強度]"),-1),1)),"")</f>
        <v/>
      </c>
      <c r="AC72" s="3" t="str" cm="1">
        <f t="array" aca="1" ref="AC72" ca="1">IFERROR(INDEX(INDIRECT("現場打コンクリート_"&amp;X72&amp;"[cell]"),IFERROR(MATCH(Y72,INDIRECT("現場打コンクリート_"&amp;X72&amp;"[設計基準強度]"),-1),1)),"")</f>
        <v/>
      </c>
      <c r="AE72" s="5"/>
      <c r="AF72" s="5"/>
      <c r="AG72" s="3">
        <f>PCaコンクリート_鉄筋無し[[#This Row],[数量]]</f>
        <v>0</v>
      </c>
      <c r="AH7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3" spans="1:35" x14ac:dyDescent="0.65">
      <c r="A73" s="5"/>
      <c r="B73" s="5"/>
      <c r="C73" s="6">
        <f>用途別面積[[#This Row],[床面積]]</f>
        <v>0</v>
      </c>
      <c r="D73" s="6" t="str">
        <f>IFERROR(VLOOKUP(用途別面積[[#This Row],[建物用途]],用途別面積_map[#All],2,FALSE),"")</f>
        <v/>
      </c>
      <c r="E73" s="6" t="str">
        <f>IFERROR(VLOOKUP(用途別面積[[#This Row],[建物用途]],用途別面積_map[#All],3,FALSE),"")</f>
        <v/>
      </c>
      <c r="J73" s="6">
        <f>現場打杭[[#This Row],[コンクリート数量]]</f>
        <v>0</v>
      </c>
      <c r="K73" s="3" t="str" cm="1">
        <f t="array" aca="1" ref="K73" ca="1">IFERROR(INDEX(INDIRECT("現場打杭_"&amp;G73&amp;"[sheet]"),IFERROR(MATCH(H73,INDIRECT("現場打杭_"&amp;G73&amp;"[設計基準強度]"),-1),1)),"")</f>
        <v/>
      </c>
      <c r="L73" s="3" t="str" cm="1">
        <f t="array" aca="1" ref="L73" ca="1">IFERROR(INDEX(INDIRECT("現場打杭_"&amp;G73&amp;"[cell]"),IFERROR(MATCH(H73,INDIRECT("現場打杭_"&amp;G73&amp;"[設計基準強度]"),-1),1)),"")</f>
        <v/>
      </c>
      <c r="N73" s="5"/>
      <c r="O73" s="5"/>
      <c r="P73" s="5"/>
      <c r="Q73" s="5"/>
      <c r="R73" s="5"/>
      <c r="S73" s="5"/>
      <c r="T73" s="3">
        <f>既製杭[[#This Row],[L]]/1000*既製杭[[#This Row],[員数]]</f>
        <v>0</v>
      </c>
      <c r="U73" s="3" t="str">
        <f>IFERROR(INDEX(既製杭_map[sheet],MATCH(既製杭[[#This Row],[杭種]],既製杭_map[杭種],0)),"")</f>
        <v/>
      </c>
      <c r="V73" s="3" t="str">
        <f>IFERROR(INDEX(既製杭_map[cell],MATCH(既製杭[[#This Row],[杭種]],既製杭_map[杭種],0)),"")</f>
        <v/>
      </c>
      <c r="X73" s="5"/>
      <c r="Y73" s="5"/>
      <c r="Z73" s="5"/>
      <c r="AA73" s="3">
        <f>現場打コンクリート[[#This Row],[数量]]</f>
        <v>0</v>
      </c>
      <c r="AB73" s="3" t="str" cm="1">
        <f t="array" aca="1" ref="AB73" ca="1">IFERROR(INDEX(INDIRECT("現場打コンクリート_"&amp;X73&amp;"[sheet]"),IFERROR(MATCH(Y73,INDIRECT("現場打コンクリート_"&amp;X73&amp;"[設計基準強度]"),-1),1)),"")</f>
        <v/>
      </c>
      <c r="AC73" s="3" t="str" cm="1">
        <f t="array" aca="1" ref="AC73" ca="1">IFERROR(INDEX(INDIRECT("現場打コンクリート_"&amp;X73&amp;"[cell]"),IFERROR(MATCH(Y73,INDIRECT("現場打コンクリート_"&amp;X73&amp;"[設計基準強度]"),-1),1)),"")</f>
        <v/>
      </c>
      <c r="AE73" s="5"/>
      <c r="AF73" s="5"/>
      <c r="AG73" s="3">
        <f>PCaコンクリート_鉄筋無し[[#This Row],[数量]]</f>
        <v>0</v>
      </c>
      <c r="AH7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4" spans="1:35" x14ac:dyDescent="0.65">
      <c r="A74" s="5"/>
      <c r="B74" s="5"/>
      <c r="C74" s="6">
        <f>用途別面積[[#This Row],[床面積]]</f>
        <v>0</v>
      </c>
      <c r="D74" s="6" t="str">
        <f>IFERROR(VLOOKUP(用途別面積[[#This Row],[建物用途]],用途別面積_map[#All],2,FALSE),"")</f>
        <v/>
      </c>
      <c r="E74" s="6" t="str">
        <f>IFERROR(VLOOKUP(用途別面積[[#This Row],[建物用途]],用途別面積_map[#All],3,FALSE),"")</f>
        <v/>
      </c>
      <c r="J74" s="6">
        <f>現場打杭[[#This Row],[コンクリート数量]]</f>
        <v>0</v>
      </c>
      <c r="K74" s="3" t="str" cm="1">
        <f t="array" aca="1" ref="K74" ca="1">IFERROR(INDEX(INDIRECT("現場打杭_"&amp;G74&amp;"[sheet]"),IFERROR(MATCH(H74,INDIRECT("現場打杭_"&amp;G74&amp;"[設計基準強度]"),-1),1)),"")</f>
        <v/>
      </c>
      <c r="L74" s="3" t="str" cm="1">
        <f t="array" aca="1" ref="L74" ca="1">IFERROR(INDEX(INDIRECT("現場打杭_"&amp;G74&amp;"[cell]"),IFERROR(MATCH(H74,INDIRECT("現場打杭_"&amp;G74&amp;"[設計基準強度]"),-1),1)),"")</f>
        <v/>
      </c>
      <c r="N74" s="5"/>
      <c r="O74" s="5"/>
      <c r="P74" s="5"/>
      <c r="Q74" s="5"/>
      <c r="R74" s="5"/>
      <c r="S74" s="5"/>
      <c r="T74" s="3">
        <f>既製杭[[#This Row],[L]]/1000*既製杭[[#This Row],[員数]]</f>
        <v>0</v>
      </c>
      <c r="U74" s="3" t="str">
        <f>IFERROR(INDEX(既製杭_map[sheet],MATCH(既製杭[[#This Row],[杭種]],既製杭_map[杭種],0)),"")</f>
        <v/>
      </c>
      <c r="V74" s="3" t="str">
        <f>IFERROR(INDEX(既製杭_map[cell],MATCH(既製杭[[#This Row],[杭種]],既製杭_map[杭種],0)),"")</f>
        <v/>
      </c>
      <c r="X74" s="5"/>
      <c r="Y74" s="5"/>
      <c r="Z74" s="5"/>
      <c r="AA74" s="3">
        <f>現場打コンクリート[[#This Row],[数量]]</f>
        <v>0</v>
      </c>
      <c r="AB74" s="3" t="str" cm="1">
        <f t="array" aca="1" ref="AB74" ca="1">IFERROR(INDEX(INDIRECT("現場打コンクリート_"&amp;X74&amp;"[sheet]"),IFERROR(MATCH(Y74,INDIRECT("現場打コンクリート_"&amp;X74&amp;"[設計基準強度]"),-1),1)),"")</f>
        <v/>
      </c>
      <c r="AC74" s="3" t="str" cm="1">
        <f t="array" aca="1" ref="AC74" ca="1">IFERROR(INDEX(INDIRECT("現場打コンクリート_"&amp;X74&amp;"[cell]"),IFERROR(MATCH(Y74,INDIRECT("現場打コンクリート_"&amp;X74&amp;"[設計基準強度]"),-1),1)),"")</f>
        <v/>
      </c>
      <c r="AE74" s="5"/>
      <c r="AF74" s="5"/>
      <c r="AG74" s="3">
        <f>PCaコンクリート_鉄筋無し[[#This Row],[数量]]</f>
        <v>0</v>
      </c>
      <c r="AH7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5" spans="1:35" x14ac:dyDescent="0.65">
      <c r="A75" s="5"/>
      <c r="B75" s="5"/>
      <c r="C75" s="6">
        <f>用途別面積[[#This Row],[床面積]]</f>
        <v>0</v>
      </c>
      <c r="D75" s="6" t="str">
        <f>IFERROR(VLOOKUP(用途別面積[[#This Row],[建物用途]],用途別面積_map[#All],2,FALSE),"")</f>
        <v/>
      </c>
      <c r="E75" s="6" t="str">
        <f>IFERROR(VLOOKUP(用途別面積[[#This Row],[建物用途]],用途別面積_map[#All],3,FALSE),"")</f>
        <v/>
      </c>
      <c r="J75" s="6">
        <f>現場打杭[[#This Row],[コンクリート数量]]</f>
        <v>0</v>
      </c>
      <c r="K75" s="3" t="str" cm="1">
        <f t="array" aca="1" ref="K75" ca="1">IFERROR(INDEX(INDIRECT("現場打杭_"&amp;G75&amp;"[sheet]"),IFERROR(MATCH(H75,INDIRECT("現場打杭_"&amp;G75&amp;"[設計基準強度]"),-1),1)),"")</f>
        <v/>
      </c>
      <c r="L75" s="3" t="str" cm="1">
        <f t="array" aca="1" ref="L75" ca="1">IFERROR(INDEX(INDIRECT("現場打杭_"&amp;G75&amp;"[cell]"),IFERROR(MATCH(H75,INDIRECT("現場打杭_"&amp;G75&amp;"[設計基準強度]"),-1),1)),"")</f>
        <v/>
      </c>
      <c r="N75" s="5"/>
      <c r="O75" s="5"/>
      <c r="P75" s="5"/>
      <c r="Q75" s="5"/>
      <c r="R75" s="5"/>
      <c r="S75" s="5"/>
      <c r="T75" s="3">
        <f>既製杭[[#This Row],[L]]/1000*既製杭[[#This Row],[員数]]</f>
        <v>0</v>
      </c>
      <c r="U75" s="3" t="str">
        <f>IFERROR(INDEX(既製杭_map[sheet],MATCH(既製杭[[#This Row],[杭種]],既製杭_map[杭種],0)),"")</f>
        <v/>
      </c>
      <c r="V75" s="3" t="str">
        <f>IFERROR(INDEX(既製杭_map[cell],MATCH(既製杭[[#This Row],[杭種]],既製杭_map[杭種],0)),"")</f>
        <v/>
      </c>
      <c r="X75" s="5"/>
      <c r="Y75" s="5"/>
      <c r="Z75" s="5"/>
      <c r="AA75" s="3">
        <f>現場打コンクリート[[#This Row],[数量]]</f>
        <v>0</v>
      </c>
      <c r="AB75" s="3" t="str" cm="1">
        <f t="array" aca="1" ref="AB75" ca="1">IFERROR(INDEX(INDIRECT("現場打コンクリート_"&amp;X75&amp;"[sheet]"),IFERROR(MATCH(Y75,INDIRECT("現場打コンクリート_"&amp;X75&amp;"[設計基準強度]"),-1),1)),"")</f>
        <v/>
      </c>
      <c r="AC75" s="3" t="str" cm="1">
        <f t="array" aca="1" ref="AC75" ca="1">IFERROR(INDEX(INDIRECT("現場打コンクリート_"&amp;X75&amp;"[cell]"),IFERROR(MATCH(Y75,INDIRECT("現場打コンクリート_"&amp;X75&amp;"[設計基準強度]"),-1),1)),"")</f>
        <v/>
      </c>
      <c r="AE75" s="5"/>
      <c r="AF75" s="5"/>
      <c r="AG75" s="3">
        <f>PCaコンクリート_鉄筋無し[[#This Row],[数量]]</f>
        <v>0</v>
      </c>
      <c r="AH7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6" spans="1:35" x14ac:dyDescent="0.65">
      <c r="A76" s="5"/>
      <c r="B76" s="5"/>
      <c r="C76" s="6">
        <f>用途別面積[[#This Row],[床面積]]</f>
        <v>0</v>
      </c>
      <c r="D76" s="6" t="str">
        <f>IFERROR(VLOOKUP(用途別面積[[#This Row],[建物用途]],用途別面積_map[#All],2,FALSE),"")</f>
        <v/>
      </c>
      <c r="E76" s="6" t="str">
        <f>IFERROR(VLOOKUP(用途別面積[[#This Row],[建物用途]],用途別面積_map[#All],3,FALSE),"")</f>
        <v/>
      </c>
      <c r="J76" s="6">
        <f>現場打杭[[#This Row],[コンクリート数量]]</f>
        <v>0</v>
      </c>
      <c r="K76" s="3" t="str" cm="1">
        <f t="array" aca="1" ref="K76" ca="1">IFERROR(INDEX(INDIRECT("現場打杭_"&amp;G76&amp;"[sheet]"),IFERROR(MATCH(H76,INDIRECT("現場打杭_"&amp;G76&amp;"[設計基準強度]"),-1),1)),"")</f>
        <v/>
      </c>
      <c r="L76" s="3" t="str" cm="1">
        <f t="array" aca="1" ref="L76" ca="1">IFERROR(INDEX(INDIRECT("現場打杭_"&amp;G76&amp;"[cell]"),IFERROR(MATCH(H76,INDIRECT("現場打杭_"&amp;G76&amp;"[設計基準強度]"),-1),1)),"")</f>
        <v/>
      </c>
      <c r="N76" s="5"/>
      <c r="O76" s="5"/>
      <c r="P76" s="5"/>
      <c r="Q76" s="5"/>
      <c r="R76" s="5"/>
      <c r="S76" s="5"/>
      <c r="T76" s="3">
        <f>既製杭[[#This Row],[L]]/1000*既製杭[[#This Row],[員数]]</f>
        <v>0</v>
      </c>
      <c r="U76" s="3" t="str">
        <f>IFERROR(INDEX(既製杭_map[sheet],MATCH(既製杭[[#This Row],[杭種]],既製杭_map[杭種],0)),"")</f>
        <v/>
      </c>
      <c r="V76" s="3" t="str">
        <f>IFERROR(INDEX(既製杭_map[cell],MATCH(既製杭[[#This Row],[杭種]],既製杭_map[杭種],0)),"")</f>
        <v/>
      </c>
      <c r="X76" s="5"/>
      <c r="Y76" s="5"/>
      <c r="Z76" s="5"/>
      <c r="AA76" s="3">
        <f>現場打コンクリート[[#This Row],[数量]]</f>
        <v>0</v>
      </c>
      <c r="AB76" s="3" t="str" cm="1">
        <f t="array" aca="1" ref="AB76" ca="1">IFERROR(INDEX(INDIRECT("現場打コンクリート_"&amp;X76&amp;"[sheet]"),IFERROR(MATCH(Y76,INDIRECT("現場打コンクリート_"&amp;X76&amp;"[設計基準強度]"),-1),1)),"")</f>
        <v/>
      </c>
      <c r="AC76" s="3" t="str" cm="1">
        <f t="array" aca="1" ref="AC76" ca="1">IFERROR(INDEX(INDIRECT("現場打コンクリート_"&amp;X76&amp;"[cell]"),IFERROR(MATCH(Y76,INDIRECT("現場打コンクリート_"&amp;X76&amp;"[設計基準強度]"),-1),1)),"")</f>
        <v/>
      </c>
      <c r="AE76" s="5"/>
      <c r="AF76" s="5"/>
      <c r="AG76" s="3">
        <f>PCaコンクリート_鉄筋無し[[#This Row],[数量]]</f>
        <v>0</v>
      </c>
      <c r="AH7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7" spans="1:35" x14ac:dyDescent="0.65">
      <c r="A77" s="5"/>
      <c r="B77" s="5"/>
      <c r="C77" s="6">
        <f>用途別面積[[#This Row],[床面積]]</f>
        <v>0</v>
      </c>
      <c r="D77" s="6" t="str">
        <f>IFERROR(VLOOKUP(用途別面積[[#This Row],[建物用途]],用途別面積_map[#All],2,FALSE),"")</f>
        <v/>
      </c>
      <c r="E77" s="6" t="str">
        <f>IFERROR(VLOOKUP(用途別面積[[#This Row],[建物用途]],用途別面積_map[#All],3,FALSE),"")</f>
        <v/>
      </c>
      <c r="J77" s="6">
        <f>現場打杭[[#This Row],[コンクリート数量]]</f>
        <v>0</v>
      </c>
      <c r="K77" s="3" t="str" cm="1">
        <f t="array" aca="1" ref="K77" ca="1">IFERROR(INDEX(INDIRECT("現場打杭_"&amp;G77&amp;"[sheet]"),IFERROR(MATCH(H77,INDIRECT("現場打杭_"&amp;G77&amp;"[設計基準強度]"),-1),1)),"")</f>
        <v/>
      </c>
      <c r="L77" s="3" t="str" cm="1">
        <f t="array" aca="1" ref="L77" ca="1">IFERROR(INDEX(INDIRECT("現場打杭_"&amp;G77&amp;"[cell]"),IFERROR(MATCH(H77,INDIRECT("現場打杭_"&amp;G77&amp;"[設計基準強度]"),-1),1)),"")</f>
        <v/>
      </c>
      <c r="N77" s="5"/>
      <c r="O77" s="5"/>
      <c r="P77" s="5"/>
      <c r="Q77" s="5"/>
      <c r="R77" s="5"/>
      <c r="S77" s="5"/>
      <c r="T77" s="3">
        <f>既製杭[[#This Row],[L]]/1000*既製杭[[#This Row],[員数]]</f>
        <v>0</v>
      </c>
      <c r="U77" s="3" t="str">
        <f>IFERROR(INDEX(既製杭_map[sheet],MATCH(既製杭[[#This Row],[杭種]],既製杭_map[杭種],0)),"")</f>
        <v/>
      </c>
      <c r="V77" s="3" t="str">
        <f>IFERROR(INDEX(既製杭_map[cell],MATCH(既製杭[[#This Row],[杭種]],既製杭_map[杭種],0)),"")</f>
        <v/>
      </c>
      <c r="X77" s="5"/>
      <c r="Y77" s="5"/>
      <c r="Z77" s="5"/>
      <c r="AA77" s="3">
        <f>現場打コンクリート[[#This Row],[数量]]</f>
        <v>0</v>
      </c>
      <c r="AB77" s="3" t="str" cm="1">
        <f t="array" aca="1" ref="AB77" ca="1">IFERROR(INDEX(INDIRECT("現場打コンクリート_"&amp;X77&amp;"[sheet]"),IFERROR(MATCH(Y77,INDIRECT("現場打コンクリート_"&amp;X77&amp;"[設計基準強度]"),-1),1)),"")</f>
        <v/>
      </c>
      <c r="AC77" s="3" t="str" cm="1">
        <f t="array" aca="1" ref="AC77" ca="1">IFERROR(INDEX(INDIRECT("現場打コンクリート_"&amp;X77&amp;"[cell]"),IFERROR(MATCH(Y77,INDIRECT("現場打コンクリート_"&amp;X77&amp;"[設計基準強度]"),-1),1)),"")</f>
        <v/>
      </c>
      <c r="AE77" s="5"/>
      <c r="AF77" s="5"/>
      <c r="AG77" s="3">
        <f>PCaコンクリート_鉄筋無し[[#This Row],[数量]]</f>
        <v>0</v>
      </c>
      <c r="AH7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8" spans="1:35" x14ac:dyDescent="0.65">
      <c r="A78" s="5"/>
      <c r="B78" s="5"/>
      <c r="C78" s="6">
        <f>用途別面積[[#This Row],[床面積]]</f>
        <v>0</v>
      </c>
      <c r="D78" s="6" t="str">
        <f>IFERROR(VLOOKUP(用途別面積[[#This Row],[建物用途]],用途別面積_map[#All],2,FALSE),"")</f>
        <v/>
      </c>
      <c r="E78" s="6" t="str">
        <f>IFERROR(VLOOKUP(用途別面積[[#This Row],[建物用途]],用途別面積_map[#All],3,FALSE),"")</f>
        <v/>
      </c>
      <c r="J78" s="6">
        <f>現場打杭[[#This Row],[コンクリート数量]]</f>
        <v>0</v>
      </c>
      <c r="K78" s="3" t="str" cm="1">
        <f t="array" aca="1" ref="K78" ca="1">IFERROR(INDEX(INDIRECT("現場打杭_"&amp;G78&amp;"[sheet]"),IFERROR(MATCH(H78,INDIRECT("現場打杭_"&amp;G78&amp;"[設計基準強度]"),-1),1)),"")</f>
        <v/>
      </c>
      <c r="L78" s="3" t="str" cm="1">
        <f t="array" aca="1" ref="L78" ca="1">IFERROR(INDEX(INDIRECT("現場打杭_"&amp;G78&amp;"[cell]"),IFERROR(MATCH(H78,INDIRECT("現場打杭_"&amp;G78&amp;"[設計基準強度]"),-1),1)),"")</f>
        <v/>
      </c>
      <c r="N78" s="5"/>
      <c r="O78" s="5"/>
      <c r="P78" s="5"/>
      <c r="Q78" s="5"/>
      <c r="R78" s="5"/>
      <c r="S78" s="5"/>
      <c r="T78" s="3">
        <f>既製杭[[#This Row],[L]]/1000*既製杭[[#This Row],[員数]]</f>
        <v>0</v>
      </c>
      <c r="U78" s="3" t="str">
        <f>IFERROR(INDEX(既製杭_map[sheet],MATCH(既製杭[[#This Row],[杭種]],既製杭_map[杭種],0)),"")</f>
        <v/>
      </c>
      <c r="V78" s="3" t="str">
        <f>IFERROR(INDEX(既製杭_map[cell],MATCH(既製杭[[#This Row],[杭種]],既製杭_map[杭種],0)),"")</f>
        <v/>
      </c>
      <c r="X78" s="5"/>
      <c r="Y78" s="5"/>
      <c r="Z78" s="5"/>
      <c r="AA78" s="3">
        <f>現場打コンクリート[[#This Row],[数量]]</f>
        <v>0</v>
      </c>
      <c r="AB78" s="3" t="str" cm="1">
        <f t="array" aca="1" ref="AB78" ca="1">IFERROR(INDEX(INDIRECT("現場打コンクリート_"&amp;X78&amp;"[sheet]"),IFERROR(MATCH(Y78,INDIRECT("現場打コンクリート_"&amp;X78&amp;"[設計基準強度]"),-1),1)),"")</f>
        <v/>
      </c>
      <c r="AC78" s="3" t="str" cm="1">
        <f t="array" aca="1" ref="AC78" ca="1">IFERROR(INDEX(INDIRECT("現場打コンクリート_"&amp;X78&amp;"[cell]"),IFERROR(MATCH(Y78,INDIRECT("現場打コンクリート_"&amp;X78&amp;"[設計基準強度]"),-1),1)),"")</f>
        <v/>
      </c>
      <c r="AE78" s="5"/>
      <c r="AF78" s="5"/>
      <c r="AG78" s="3">
        <f>PCaコンクリート_鉄筋無し[[#This Row],[数量]]</f>
        <v>0</v>
      </c>
      <c r="AH7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9" spans="1:35" x14ac:dyDescent="0.65">
      <c r="A79" s="5"/>
      <c r="B79" s="5"/>
      <c r="C79" s="6">
        <f>用途別面積[[#This Row],[床面積]]</f>
        <v>0</v>
      </c>
      <c r="D79" s="6" t="str">
        <f>IFERROR(VLOOKUP(用途別面積[[#This Row],[建物用途]],用途別面積_map[#All],2,FALSE),"")</f>
        <v/>
      </c>
      <c r="E79" s="6" t="str">
        <f>IFERROR(VLOOKUP(用途別面積[[#This Row],[建物用途]],用途別面積_map[#All],3,FALSE),"")</f>
        <v/>
      </c>
      <c r="J79" s="6">
        <f>現場打杭[[#This Row],[コンクリート数量]]</f>
        <v>0</v>
      </c>
      <c r="K79" s="3" t="str" cm="1">
        <f t="array" aca="1" ref="K79" ca="1">IFERROR(INDEX(INDIRECT("現場打杭_"&amp;G79&amp;"[sheet]"),IFERROR(MATCH(H79,INDIRECT("現場打杭_"&amp;G79&amp;"[設計基準強度]"),-1),1)),"")</f>
        <v/>
      </c>
      <c r="L79" s="3" t="str" cm="1">
        <f t="array" aca="1" ref="L79" ca="1">IFERROR(INDEX(INDIRECT("現場打杭_"&amp;G79&amp;"[cell]"),IFERROR(MATCH(H79,INDIRECT("現場打杭_"&amp;G79&amp;"[設計基準強度]"),-1),1)),"")</f>
        <v/>
      </c>
      <c r="N79" s="5"/>
      <c r="O79" s="5"/>
      <c r="P79" s="5"/>
      <c r="Q79" s="5"/>
      <c r="R79" s="5"/>
      <c r="S79" s="5"/>
      <c r="T79" s="3">
        <f>既製杭[[#This Row],[L]]/1000*既製杭[[#This Row],[員数]]</f>
        <v>0</v>
      </c>
      <c r="U79" s="3" t="str">
        <f>IFERROR(INDEX(既製杭_map[sheet],MATCH(既製杭[[#This Row],[杭種]],既製杭_map[杭種],0)),"")</f>
        <v/>
      </c>
      <c r="V79" s="3" t="str">
        <f>IFERROR(INDEX(既製杭_map[cell],MATCH(既製杭[[#This Row],[杭種]],既製杭_map[杭種],0)),"")</f>
        <v/>
      </c>
      <c r="X79" s="5"/>
      <c r="Y79" s="5"/>
      <c r="Z79" s="5"/>
      <c r="AA79" s="3">
        <f>現場打コンクリート[[#This Row],[数量]]</f>
        <v>0</v>
      </c>
      <c r="AB79" s="3" t="str" cm="1">
        <f t="array" aca="1" ref="AB79" ca="1">IFERROR(INDEX(INDIRECT("現場打コンクリート_"&amp;X79&amp;"[sheet]"),IFERROR(MATCH(Y79,INDIRECT("現場打コンクリート_"&amp;X79&amp;"[設計基準強度]"),-1),1)),"")</f>
        <v/>
      </c>
      <c r="AC79" s="3" t="str" cm="1">
        <f t="array" aca="1" ref="AC79" ca="1">IFERROR(INDEX(INDIRECT("現場打コンクリート_"&amp;X79&amp;"[cell]"),IFERROR(MATCH(Y79,INDIRECT("現場打コンクリート_"&amp;X79&amp;"[設計基準強度]"),-1),1)),"")</f>
        <v/>
      </c>
      <c r="AE79" s="5"/>
      <c r="AF79" s="5"/>
      <c r="AG79" s="3">
        <f>PCaコンクリート_鉄筋無し[[#This Row],[数量]]</f>
        <v>0</v>
      </c>
      <c r="AH7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0" spans="1:35" x14ac:dyDescent="0.65">
      <c r="A80" s="5"/>
      <c r="B80" s="5"/>
      <c r="C80" s="6">
        <f>用途別面積[[#This Row],[床面積]]</f>
        <v>0</v>
      </c>
      <c r="D80" s="6" t="str">
        <f>IFERROR(VLOOKUP(用途別面積[[#This Row],[建物用途]],用途別面積_map[#All],2,FALSE),"")</f>
        <v/>
      </c>
      <c r="E80" s="6" t="str">
        <f>IFERROR(VLOOKUP(用途別面積[[#This Row],[建物用途]],用途別面積_map[#All],3,FALSE),"")</f>
        <v/>
      </c>
      <c r="J80" s="6">
        <f>現場打杭[[#This Row],[コンクリート数量]]</f>
        <v>0</v>
      </c>
      <c r="K80" s="3" t="str" cm="1">
        <f t="array" aca="1" ref="K80" ca="1">IFERROR(INDEX(INDIRECT("現場打杭_"&amp;G80&amp;"[sheet]"),IFERROR(MATCH(H80,INDIRECT("現場打杭_"&amp;G80&amp;"[設計基準強度]"),-1),1)),"")</f>
        <v/>
      </c>
      <c r="L80" s="3" t="str" cm="1">
        <f t="array" aca="1" ref="L80" ca="1">IFERROR(INDEX(INDIRECT("現場打杭_"&amp;G80&amp;"[cell]"),IFERROR(MATCH(H80,INDIRECT("現場打杭_"&amp;G80&amp;"[設計基準強度]"),-1),1)),"")</f>
        <v/>
      </c>
      <c r="N80" s="5"/>
      <c r="O80" s="5"/>
      <c r="P80" s="5"/>
      <c r="Q80" s="5"/>
      <c r="R80" s="5"/>
      <c r="S80" s="5"/>
      <c r="T80" s="3">
        <f>既製杭[[#This Row],[L]]/1000*既製杭[[#This Row],[員数]]</f>
        <v>0</v>
      </c>
      <c r="U80" s="3" t="str">
        <f>IFERROR(INDEX(既製杭_map[sheet],MATCH(既製杭[[#This Row],[杭種]],既製杭_map[杭種],0)),"")</f>
        <v/>
      </c>
      <c r="V80" s="3" t="str">
        <f>IFERROR(INDEX(既製杭_map[cell],MATCH(既製杭[[#This Row],[杭種]],既製杭_map[杭種],0)),"")</f>
        <v/>
      </c>
      <c r="X80" s="5"/>
      <c r="Y80" s="5"/>
      <c r="Z80" s="5"/>
      <c r="AA80" s="3">
        <f>現場打コンクリート[[#This Row],[数量]]</f>
        <v>0</v>
      </c>
      <c r="AB80" s="3" t="str" cm="1">
        <f t="array" aca="1" ref="AB80" ca="1">IFERROR(INDEX(INDIRECT("現場打コンクリート_"&amp;X80&amp;"[sheet]"),IFERROR(MATCH(Y80,INDIRECT("現場打コンクリート_"&amp;X80&amp;"[設計基準強度]"),-1),1)),"")</f>
        <v/>
      </c>
      <c r="AC80" s="3" t="str" cm="1">
        <f t="array" aca="1" ref="AC80" ca="1">IFERROR(INDEX(INDIRECT("現場打コンクリート_"&amp;X80&amp;"[cell]"),IFERROR(MATCH(Y80,INDIRECT("現場打コンクリート_"&amp;X80&amp;"[設計基準強度]"),-1),1)),"")</f>
        <v/>
      </c>
      <c r="AE80" s="5"/>
      <c r="AF80" s="5"/>
      <c r="AG80" s="3">
        <f>PCaコンクリート_鉄筋無し[[#This Row],[数量]]</f>
        <v>0</v>
      </c>
      <c r="AH8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1" spans="1:35" x14ac:dyDescent="0.65">
      <c r="A81" s="5"/>
      <c r="B81" s="5"/>
      <c r="C81" s="6">
        <f>用途別面積[[#This Row],[床面積]]</f>
        <v>0</v>
      </c>
      <c r="D81" s="6" t="str">
        <f>IFERROR(VLOOKUP(用途別面積[[#This Row],[建物用途]],用途別面積_map[#All],2,FALSE),"")</f>
        <v/>
      </c>
      <c r="E81" s="6" t="str">
        <f>IFERROR(VLOOKUP(用途別面積[[#This Row],[建物用途]],用途別面積_map[#All],3,FALSE),"")</f>
        <v/>
      </c>
      <c r="J81" s="6">
        <f>現場打杭[[#This Row],[コンクリート数量]]</f>
        <v>0</v>
      </c>
      <c r="K81" s="3" t="str" cm="1">
        <f t="array" aca="1" ref="K81" ca="1">IFERROR(INDEX(INDIRECT("現場打杭_"&amp;G81&amp;"[sheet]"),IFERROR(MATCH(H81,INDIRECT("現場打杭_"&amp;G81&amp;"[設計基準強度]"),-1),1)),"")</f>
        <v/>
      </c>
      <c r="L81" s="3" t="str" cm="1">
        <f t="array" aca="1" ref="L81" ca="1">IFERROR(INDEX(INDIRECT("現場打杭_"&amp;G81&amp;"[cell]"),IFERROR(MATCH(H81,INDIRECT("現場打杭_"&amp;G81&amp;"[設計基準強度]"),-1),1)),"")</f>
        <v/>
      </c>
      <c r="N81" s="5"/>
      <c r="O81" s="5"/>
      <c r="P81" s="5"/>
      <c r="Q81" s="5"/>
      <c r="R81" s="5"/>
      <c r="S81" s="5"/>
      <c r="T81" s="3">
        <f>既製杭[[#This Row],[L]]/1000*既製杭[[#This Row],[員数]]</f>
        <v>0</v>
      </c>
      <c r="U81" s="3" t="str">
        <f>IFERROR(INDEX(既製杭_map[sheet],MATCH(既製杭[[#This Row],[杭種]],既製杭_map[杭種],0)),"")</f>
        <v/>
      </c>
      <c r="V81" s="3" t="str">
        <f>IFERROR(INDEX(既製杭_map[cell],MATCH(既製杭[[#This Row],[杭種]],既製杭_map[杭種],0)),"")</f>
        <v/>
      </c>
      <c r="X81" s="5"/>
      <c r="Y81" s="5"/>
      <c r="Z81" s="5"/>
      <c r="AA81" s="3">
        <f>現場打コンクリート[[#This Row],[数量]]</f>
        <v>0</v>
      </c>
      <c r="AB81" s="3" t="str" cm="1">
        <f t="array" aca="1" ref="AB81" ca="1">IFERROR(INDEX(INDIRECT("現場打コンクリート_"&amp;X81&amp;"[sheet]"),IFERROR(MATCH(Y81,INDIRECT("現場打コンクリート_"&amp;X81&amp;"[設計基準強度]"),-1),1)),"")</f>
        <v/>
      </c>
      <c r="AC81" s="3" t="str" cm="1">
        <f t="array" aca="1" ref="AC81" ca="1">IFERROR(INDEX(INDIRECT("現場打コンクリート_"&amp;X81&amp;"[cell]"),IFERROR(MATCH(Y81,INDIRECT("現場打コンクリート_"&amp;X81&amp;"[設計基準強度]"),-1),1)),"")</f>
        <v/>
      </c>
      <c r="AE81" s="5"/>
      <c r="AF81" s="5"/>
      <c r="AG81" s="3">
        <f>PCaコンクリート_鉄筋無し[[#This Row],[数量]]</f>
        <v>0</v>
      </c>
      <c r="AH8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2" spans="1:35" x14ac:dyDescent="0.65">
      <c r="A82" s="5"/>
      <c r="B82" s="5"/>
      <c r="C82" s="6">
        <f>用途別面積[[#This Row],[床面積]]</f>
        <v>0</v>
      </c>
      <c r="D82" s="6" t="str">
        <f>IFERROR(VLOOKUP(用途別面積[[#This Row],[建物用途]],用途別面積_map[#All],2,FALSE),"")</f>
        <v/>
      </c>
      <c r="E82" s="6" t="str">
        <f>IFERROR(VLOOKUP(用途別面積[[#This Row],[建物用途]],用途別面積_map[#All],3,FALSE),"")</f>
        <v/>
      </c>
      <c r="J82" s="6">
        <f>現場打杭[[#This Row],[コンクリート数量]]</f>
        <v>0</v>
      </c>
      <c r="K82" s="3" t="str" cm="1">
        <f t="array" aca="1" ref="K82" ca="1">IFERROR(INDEX(INDIRECT("現場打杭_"&amp;G82&amp;"[sheet]"),IFERROR(MATCH(H82,INDIRECT("現場打杭_"&amp;G82&amp;"[設計基準強度]"),-1),1)),"")</f>
        <v/>
      </c>
      <c r="L82" s="3" t="str" cm="1">
        <f t="array" aca="1" ref="L82" ca="1">IFERROR(INDEX(INDIRECT("現場打杭_"&amp;G82&amp;"[cell]"),IFERROR(MATCH(H82,INDIRECT("現場打杭_"&amp;G82&amp;"[設計基準強度]"),-1),1)),"")</f>
        <v/>
      </c>
      <c r="N82" s="5"/>
      <c r="O82" s="5"/>
      <c r="P82" s="5"/>
      <c r="Q82" s="5"/>
      <c r="R82" s="5"/>
      <c r="S82" s="5"/>
      <c r="T82" s="3">
        <f>既製杭[[#This Row],[L]]/1000*既製杭[[#This Row],[員数]]</f>
        <v>0</v>
      </c>
      <c r="U82" s="3" t="str">
        <f>IFERROR(INDEX(既製杭_map[sheet],MATCH(既製杭[[#This Row],[杭種]],既製杭_map[杭種],0)),"")</f>
        <v/>
      </c>
      <c r="V82" s="3" t="str">
        <f>IFERROR(INDEX(既製杭_map[cell],MATCH(既製杭[[#This Row],[杭種]],既製杭_map[杭種],0)),"")</f>
        <v/>
      </c>
      <c r="X82" s="5"/>
      <c r="Y82" s="5"/>
      <c r="Z82" s="5"/>
      <c r="AA82" s="3">
        <f>現場打コンクリート[[#This Row],[数量]]</f>
        <v>0</v>
      </c>
      <c r="AB82" s="3" t="str" cm="1">
        <f t="array" aca="1" ref="AB82" ca="1">IFERROR(INDEX(INDIRECT("現場打コンクリート_"&amp;X82&amp;"[sheet]"),IFERROR(MATCH(Y82,INDIRECT("現場打コンクリート_"&amp;X82&amp;"[設計基準強度]"),-1),1)),"")</f>
        <v/>
      </c>
      <c r="AC82" s="3" t="str" cm="1">
        <f t="array" aca="1" ref="AC82" ca="1">IFERROR(INDEX(INDIRECT("現場打コンクリート_"&amp;X82&amp;"[cell]"),IFERROR(MATCH(Y82,INDIRECT("現場打コンクリート_"&amp;X82&amp;"[設計基準強度]"),-1),1)),"")</f>
        <v/>
      </c>
      <c r="AE82" s="5"/>
      <c r="AF82" s="5"/>
      <c r="AG82" s="3">
        <f>PCaコンクリート_鉄筋無し[[#This Row],[数量]]</f>
        <v>0</v>
      </c>
      <c r="AH8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3" spans="1:35" x14ac:dyDescent="0.65">
      <c r="A83" s="5"/>
      <c r="B83" s="5"/>
      <c r="C83" s="6">
        <f>用途別面積[[#This Row],[床面積]]</f>
        <v>0</v>
      </c>
      <c r="D83" s="6" t="str">
        <f>IFERROR(VLOOKUP(用途別面積[[#This Row],[建物用途]],用途別面積_map[#All],2,FALSE),"")</f>
        <v/>
      </c>
      <c r="E83" s="6" t="str">
        <f>IFERROR(VLOOKUP(用途別面積[[#This Row],[建物用途]],用途別面積_map[#All],3,FALSE),"")</f>
        <v/>
      </c>
      <c r="J83" s="6">
        <f>現場打杭[[#This Row],[コンクリート数量]]</f>
        <v>0</v>
      </c>
      <c r="K83" s="3" t="str" cm="1">
        <f t="array" aca="1" ref="K83" ca="1">IFERROR(INDEX(INDIRECT("現場打杭_"&amp;G83&amp;"[sheet]"),IFERROR(MATCH(H83,INDIRECT("現場打杭_"&amp;G83&amp;"[設計基準強度]"),-1),1)),"")</f>
        <v/>
      </c>
      <c r="L83" s="3" t="str" cm="1">
        <f t="array" aca="1" ref="L83" ca="1">IFERROR(INDEX(INDIRECT("現場打杭_"&amp;G83&amp;"[cell]"),IFERROR(MATCH(H83,INDIRECT("現場打杭_"&amp;G83&amp;"[設計基準強度]"),-1),1)),"")</f>
        <v/>
      </c>
      <c r="N83" s="5"/>
      <c r="O83" s="5"/>
      <c r="P83" s="5"/>
      <c r="Q83" s="5"/>
      <c r="R83" s="5"/>
      <c r="S83" s="5"/>
      <c r="T83" s="3">
        <f>既製杭[[#This Row],[L]]/1000*既製杭[[#This Row],[員数]]</f>
        <v>0</v>
      </c>
      <c r="U83" s="3" t="str">
        <f>IFERROR(INDEX(既製杭_map[sheet],MATCH(既製杭[[#This Row],[杭種]],既製杭_map[杭種],0)),"")</f>
        <v/>
      </c>
      <c r="V83" s="3" t="str">
        <f>IFERROR(INDEX(既製杭_map[cell],MATCH(既製杭[[#This Row],[杭種]],既製杭_map[杭種],0)),"")</f>
        <v/>
      </c>
      <c r="X83" s="5"/>
      <c r="Y83" s="5"/>
      <c r="Z83" s="5"/>
      <c r="AA83" s="3">
        <f>現場打コンクリート[[#This Row],[数量]]</f>
        <v>0</v>
      </c>
      <c r="AB83" s="3" t="str" cm="1">
        <f t="array" aca="1" ref="AB83" ca="1">IFERROR(INDEX(INDIRECT("現場打コンクリート_"&amp;X83&amp;"[sheet]"),IFERROR(MATCH(Y83,INDIRECT("現場打コンクリート_"&amp;X83&amp;"[設計基準強度]"),-1),1)),"")</f>
        <v/>
      </c>
      <c r="AC83" s="3" t="str" cm="1">
        <f t="array" aca="1" ref="AC83" ca="1">IFERROR(INDEX(INDIRECT("現場打コンクリート_"&amp;X83&amp;"[cell]"),IFERROR(MATCH(Y83,INDIRECT("現場打コンクリート_"&amp;X83&amp;"[設計基準強度]"),-1),1)),"")</f>
        <v/>
      </c>
      <c r="AE83" s="5"/>
      <c r="AF83" s="5"/>
      <c r="AG83" s="3">
        <f>PCaコンクリート_鉄筋無し[[#This Row],[数量]]</f>
        <v>0</v>
      </c>
      <c r="AH8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4" spans="1:35" x14ac:dyDescent="0.65">
      <c r="A84" s="5"/>
      <c r="B84" s="5"/>
      <c r="C84" s="6">
        <f>用途別面積[[#This Row],[床面積]]</f>
        <v>0</v>
      </c>
      <c r="D84" s="6" t="str">
        <f>IFERROR(VLOOKUP(用途別面積[[#This Row],[建物用途]],用途別面積_map[#All],2,FALSE),"")</f>
        <v/>
      </c>
      <c r="E84" s="6" t="str">
        <f>IFERROR(VLOOKUP(用途別面積[[#This Row],[建物用途]],用途別面積_map[#All],3,FALSE),"")</f>
        <v/>
      </c>
      <c r="J84" s="6">
        <f>現場打杭[[#This Row],[コンクリート数量]]</f>
        <v>0</v>
      </c>
      <c r="K84" s="3" t="str" cm="1">
        <f t="array" aca="1" ref="K84" ca="1">IFERROR(INDEX(INDIRECT("現場打杭_"&amp;G84&amp;"[sheet]"),IFERROR(MATCH(H84,INDIRECT("現場打杭_"&amp;G84&amp;"[設計基準強度]"),-1),1)),"")</f>
        <v/>
      </c>
      <c r="L84" s="3" t="str" cm="1">
        <f t="array" aca="1" ref="L84" ca="1">IFERROR(INDEX(INDIRECT("現場打杭_"&amp;G84&amp;"[cell]"),IFERROR(MATCH(H84,INDIRECT("現場打杭_"&amp;G84&amp;"[設計基準強度]"),-1),1)),"")</f>
        <v/>
      </c>
      <c r="N84" s="5"/>
      <c r="O84" s="5"/>
      <c r="P84" s="5"/>
      <c r="Q84" s="5"/>
      <c r="R84" s="5"/>
      <c r="S84" s="5"/>
      <c r="T84" s="3">
        <f>既製杭[[#This Row],[L]]/1000*既製杭[[#This Row],[員数]]</f>
        <v>0</v>
      </c>
      <c r="U84" s="3" t="str">
        <f>IFERROR(INDEX(既製杭_map[sheet],MATCH(既製杭[[#This Row],[杭種]],既製杭_map[杭種],0)),"")</f>
        <v/>
      </c>
      <c r="V84" s="3" t="str">
        <f>IFERROR(INDEX(既製杭_map[cell],MATCH(既製杭[[#This Row],[杭種]],既製杭_map[杭種],0)),"")</f>
        <v/>
      </c>
      <c r="X84" s="5"/>
      <c r="Y84" s="5"/>
      <c r="Z84" s="5"/>
      <c r="AA84" s="3">
        <f>現場打コンクリート[[#This Row],[数量]]</f>
        <v>0</v>
      </c>
      <c r="AB84" s="3" t="str" cm="1">
        <f t="array" aca="1" ref="AB84" ca="1">IFERROR(INDEX(INDIRECT("現場打コンクリート_"&amp;X84&amp;"[sheet]"),IFERROR(MATCH(Y84,INDIRECT("現場打コンクリート_"&amp;X84&amp;"[設計基準強度]"),-1),1)),"")</f>
        <v/>
      </c>
      <c r="AC84" s="3" t="str" cm="1">
        <f t="array" aca="1" ref="AC84" ca="1">IFERROR(INDEX(INDIRECT("現場打コンクリート_"&amp;X84&amp;"[cell]"),IFERROR(MATCH(Y84,INDIRECT("現場打コンクリート_"&amp;X84&amp;"[設計基準強度]"),-1),1)),"")</f>
        <v/>
      </c>
      <c r="AE84" s="5"/>
      <c r="AF84" s="5"/>
      <c r="AG84" s="3">
        <f>PCaコンクリート_鉄筋無し[[#This Row],[数量]]</f>
        <v>0</v>
      </c>
      <c r="AH8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5" spans="1:35" x14ac:dyDescent="0.65">
      <c r="A85" s="5"/>
      <c r="B85" s="5"/>
      <c r="C85" s="6">
        <f>用途別面積[[#This Row],[床面積]]</f>
        <v>0</v>
      </c>
      <c r="D85" s="6" t="str">
        <f>IFERROR(VLOOKUP(用途別面積[[#This Row],[建物用途]],用途別面積_map[#All],2,FALSE),"")</f>
        <v/>
      </c>
      <c r="E85" s="6" t="str">
        <f>IFERROR(VLOOKUP(用途別面積[[#This Row],[建物用途]],用途別面積_map[#All],3,FALSE),"")</f>
        <v/>
      </c>
      <c r="J85" s="6">
        <f>現場打杭[[#This Row],[コンクリート数量]]</f>
        <v>0</v>
      </c>
      <c r="K85" s="3" t="str" cm="1">
        <f t="array" aca="1" ref="K85" ca="1">IFERROR(INDEX(INDIRECT("現場打杭_"&amp;G85&amp;"[sheet]"),IFERROR(MATCH(H85,INDIRECT("現場打杭_"&amp;G85&amp;"[設計基準強度]"),-1),1)),"")</f>
        <v/>
      </c>
      <c r="L85" s="3" t="str" cm="1">
        <f t="array" aca="1" ref="L85" ca="1">IFERROR(INDEX(INDIRECT("現場打杭_"&amp;G85&amp;"[cell]"),IFERROR(MATCH(H85,INDIRECT("現場打杭_"&amp;G85&amp;"[設計基準強度]"),-1),1)),"")</f>
        <v/>
      </c>
      <c r="N85" s="5"/>
      <c r="O85" s="5"/>
      <c r="P85" s="5"/>
      <c r="Q85" s="5"/>
      <c r="R85" s="5"/>
      <c r="S85" s="5"/>
      <c r="T85" s="3">
        <f>既製杭[[#This Row],[L]]/1000*既製杭[[#This Row],[員数]]</f>
        <v>0</v>
      </c>
      <c r="U85" s="3" t="str">
        <f>IFERROR(INDEX(既製杭_map[sheet],MATCH(既製杭[[#This Row],[杭種]],既製杭_map[杭種],0)),"")</f>
        <v/>
      </c>
      <c r="V85" s="3" t="str">
        <f>IFERROR(INDEX(既製杭_map[cell],MATCH(既製杭[[#This Row],[杭種]],既製杭_map[杭種],0)),"")</f>
        <v/>
      </c>
      <c r="X85" s="5"/>
      <c r="Y85" s="5"/>
      <c r="Z85" s="5"/>
      <c r="AA85" s="3">
        <f>現場打コンクリート[[#This Row],[数量]]</f>
        <v>0</v>
      </c>
      <c r="AB85" s="3" t="str" cm="1">
        <f t="array" aca="1" ref="AB85" ca="1">IFERROR(INDEX(INDIRECT("現場打コンクリート_"&amp;X85&amp;"[sheet]"),IFERROR(MATCH(Y85,INDIRECT("現場打コンクリート_"&amp;X85&amp;"[設計基準強度]"),-1),1)),"")</f>
        <v/>
      </c>
      <c r="AC85" s="3" t="str" cm="1">
        <f t="array" aca="1" ref="AC85" ca="1">IFERROR(INDEX(INDIRECT("現場打コンクリート_"&amp;X85&amp;"[cell]"),IFERROR(MATCH(Y85,INDIRECT("現場打コンクリート_"&amp;X85&amp;"[設計基準強度]"),-1),1)),"")</f>
        <v/>
      </c>
      <c r="AE85" s="5"/>
      <c r="AF85" s="5"/>
      <c r="AG85" s="3">
        <f>PCaコンクリート_鉄筋無し[[#This Row],[数量]]</f>
        <v>0</v>
      </c>
      <c r="AH8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6" spans="1:35" x14ac:dyDescent="0.65">
      <c r="A86" s="5"/>
      <c r="B86" s="5"/>
      <c r="C86" s="6">
        <f>用途別面積[[#This Row],[床面積]]</f>
        <v>0</v>
      </c>
      <c r="D86" s="6" t="str">
        <f>IFERROR(VLOOKUP(用途別面積[[#This Row],[建物用途]],用途別面積_map[#All],2,FALSE),"")</f>
        <v/>
      </c>
      <c r="E86" s="6" t="str">
        <f>IFERROR(VLOOKUP(用途別面積[[#This Row],[建物用途]],用途別面積_map[#All],3,FALSE),"")</f>
        <v/>
      </c>
      <c r="J86" s="6">
        <f>現場打杭[[#This Row],[コンクリート数量]]</f>
        <v>0</v>
      </c>
      <c r="K86" s="3" t="str" cm="1">
        <f t="array" aca="1" ref="K86" ca="1">IFERROR(INDEX(INDIRECT("現場打杭_"&amp;G86&amp;"[sheet]"),IFERROR(MATCH(H86,INDIRECT("現場打杭_"&amp;G86&amp;"[設計基準強度]"),-1),1)),"")</f>
        <v/>
      </c>
      <c r="L86" s="3" t="str" cm="1">
        <f t="array" aca="1" ref="L86" ca="1">IFERROR(INDEX(INDIRECT("現場打杭_"&amp;G86&amp;"[cell]"),IFERROR(MATCH(H86,INDIRECT("現場打杭_"&amp;G86&amp;"[設計基準強度]"),-1),1)),"")</f>
        <v/>
      </c>
      <c r="N86" s="5"/>
      <c r="O86" s="5"/>
      <c r="P86" s="5"/>
      <c r="Q86" s="5"/>
      <c r="R86" s="5"/>
      <c r="S86" s="5"/>
      <c r="T86" s="3">
        <f>既製杭[[#This Row],[L]]/1000*既製杭[[#This Row],[員数]]</f>
        <v>0</v>
      </c>
      <c r="U86" s="3" t="str">
        <f>IFERROR(INDEX(既製杭_map[sheet],MATCH(既製杭[[#This Row],[杭種]],既製杭_map[杭種],0)),"")</f>
        <v/>
      </c>
      <c r="V86" s="3" t="str">
        <f>IFERROR(INDEX(既製杭_map[cell],MATCH(既製杭[[#This Row],[杭種]],既製杭_map[杭種],0)),"")</f>
        <v/>
      </c>
      <c r="X86" s="5"/>
      <c r="Y86" s="5"/>
      <c r="Z86" s="5"/>
      <c r="AA86" s="3">
        <f>現場打コンクリート[[#This Row],[数量]]</f>
        <v>0</v>
      </c>
      <c r="AB86" s="3" t="str" cm="1">
        <f t="array" aca="1" ref="AB86" ca="1">IFERROR(INDEX(INDIRECT("現場打コンクリート_"&amp;X86&amp;"[sheet]"),IFERROR(MATCH(Y86,INDIRECT("現場打コンクリート_"&amp;X86&amp;"[設計基準強度]"),-1),1)),"")</f>
        <v/>
      </c>
      <c r="AC86" s="3" t="str" cm="1">
        <f t="array" aca="1" ref="AC86" ca="1">IFERROR(INDEX(INDIRECT("現場打コンクリート_"&amp;X86&amp;"[cell]"),IFERROR(MATCH(Y86,INDIRECT("現場打コンクリート_"&amp;X86&amp;"[設計基準強度]"),-1),1)),"")</f>
        <v/>
      </c>
      <c r="AE86" s="5"/>
      <c r="AF86" s="5"/>
      <c r="AG86" s="3">
        <f>PCaコンクリート_鉄筋無し[[#This Row],[数量]]</f>
        <v>0</v>
      </c>
      <c r="AH8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7" spans="1:35" x14ac:dyDescent="0.65">
      <c r="A87" s="5"/>
      <c r="B87" s="5"/>
      <c r="C87" s="6">
        <f>用途別面積[[#This Row],[床面積]]</f>
        <v>0</v>
      </c>
      <c r="D87" s="6" t="str">
        <f>IFERROR(VLOOKUP(用途別面積[[#This Row],[建物用途]],用途別面積_map[#All],2,FALSE),"")</f>
        <v/>
      </c>
      <c r="E87" s="6" t="str">
        <f>IFERROR(VLOOKUP(用途別面積[[#This Row],[建物用途]],用途別面積_map[#All],3,FALSE),"")</f>
        <v/>
      </c>
      <c r="J87" s="6">
        <f>現場打杭[[#This Row],[コンクリート数量]]</f>
        <v>0</v>
      </c>
      <c r="K87" s="3" t="str" cm="1">
        <f t="array" aca="1" ref="K87" ca="1">IFERROR(INDEX(INDIRECT("現場打杭_"&amp;G87&amp;"[sheet]"),IFERROR(MATCH(H87,INDIRECT("現場打杭_"&amp;G87&amp;"[設計基準強度]"),-1),1)),"")</f>
        <v/>
      </c>
      <c r="L87" s="3" t="str" cm="1">
        <f t="array" aca="1" ref="L87" ca="1">IFERROR(INDEX(INDIRECT("現場打杭_"&amp;G87&amp;"[cell]"),IFERROR(MATCH(H87,INDIRECT("現場打杭_"&amp;G87&amp;"[設計基準強度]"),-1),1)),"")</f>
        <v/>
      </c>
      <c r="N87" s="5"/>
      <c r="O87" s="5"/>
      <c r="P87" s="5"/>
      <c r="Q87" s="5"/>
      <c r="R87" s="5"/>
      <c r="S87" s="5"/>
      <c r="T87" s="3">
        <f>既製杭[[#This Row],[L]]/1000*既製杭[[#This Row],[員数]]</f>
        <v>0</v>
      </c>
      <c r="U87" s="3" t="str">
        <f>IFERROR(INDEX(既製杭_map[sheet],MATCH(既製杭[[#This Row],[杭種]],既製杭_map[杭種],0)),"")</f>
        <v/>
      </c>
      <c r="V87" s="3" t="str">
        <f>IFERROR(INDEX(既製杭_map[cell],MATCH(既製杭[[#This Row],[杭種]],既製杭_map[杭種],0)),"")</f>
        <v/>
      </c>
      <c r="X87" s="5"/>
      <c r="Y87" s="5"/>
      <c r="Z87" s="5"/>
      <c r="AA87" s="3">
        <f>現場打コンクリート[[#This Row],[数量]]</f>
        <v>0</v>
      </c>
      <c r="AB87" s="3" t="str" cm="1">
        <f t="array" aca="1" ref="AB87" ca="1">IFERROR(INDEX(INDIRECT("現場打コンクリート_"&amp;X87&amp;"[sheet]"),IFERROR(MATCH(Y87,INDIRECT("現場打コンクリート_"&amp;X87&amp;"[設計基準強度]"),-1),1)),"")</f>
        <v/>
      </c>
      <c r="AC87" s="3" t="str" cm="1">
        <f t="array" aca="1" ref="AC87" ca="1">IFERROR(INDEX(INDIRECT("現場打コンクリート_"&amp;X87&amp;"[cell]"),IFERROR(MATCH(Y87,INDIRECT("現場打コンクリート_"&amp;X87&amp;"[設計基準強度]"),-1),1)),"")</f>
        <v/>
      </c>
      <c r="AE87" s="5"/>
      <c r="AF87" s="5"/>
      <c r="AG87" s="3">
        <f>PCaコンクリート_鉄筋無し[[#This Row],[数量]]</f>
        <v>0</v>
      </c>
      <c r="AH8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8" spans="1:35" x14ac:dyDescent="0.65">
      <c r="A88" s="5"/>
      <c r="B88" s="5"/>
      <c r="C88" s="6">
        <f>用途別面積[[#This Row],[床面積]]</f>
        <v>0</v>
      </c>
      <c r="D88" s="6" t="str">
        <f>IFERROR(VLOOKUP(用途別面積[[#This Row],[建物用途]],用途別面積_map[#All],2,FALSE),"")</f>
        <v/>
      </c>
      <c r="E88" s="6" t="str">
        <f>IFERROR(VLOOKUP(用途別面積[[#This Row],[建物用途]],用途別面積_map[#All],3,FALSE),"")</f>
        <v/>
      </c>
      <c r="J88" s="6">
        <f>現場打杭[[#This Row],[コンクリート数量]]</f>
        <v>0</v>
      </c>
      <c r="K88" s="3" t="str" cm="1">
        <f t="array" aca="1" ref="K88" ca="1">IFERROR(INDEX(INDIRECT("現場打杭_"&amp;G88&amp;"[sheet]"),IFERROR(MATCH(H88,INDIRECT("現場打杭_"&amp;G88&amp;"[設計基準強度]"),-1),1)),"")</f>
        <v/>
      </c>
      <c r="L88" s="3" t="str" cm="1">
        <f t="array" aca="1" ref="L88" ca="1">IFERROR(INDEX(INDIRECT("現場打杭_"&amp;G88&amp;"[cell]"),IFERROR(MATCH(H88,INDIRECT("現場打杭_"&amp;G88&amp;"[設計基準強度]"),-1),1)),"")</f>
        <v/>
      </c>
      <c r="N88" s="5"/>
      <c r="O88" s="5"/>
      <c r="P88" s="5"/>
      <c r="Q88" s="5"/>
      <c r="R88" s="5"/>
      <c r="S88" s="5"/>
      <c r="T88" s="3">
        <f>既製杭[[#This Row],[L]]/1000*既製杭[[#This Row],[員数]]</f>
        <v>0</v>
      </c>
      <c r="U88" s="3" t="str">
        <f>IFERROR(INDEX(既製杭_map[sheet],MATCH(既製杭[[#This Row],[杭種]],既製杭_map[杭種],0)),"")</f>
        <v/>
      </c>
      <c r="V88" s="3" t="str">
        <f>IFERROR(INDEX(既製杭_map[cell],MATCH(既製杭[[#This Row],[杭種]],既製杭_map[杭種],0)),"")</f>
        <v/>
      </c>
      <c r="X88" s="5"/>
      <c r="Y88" s="5"/>
      <c r="Z88" s="5"/>
      <c r="AA88" s="3">
        <f>現場打コンクリート[[#This Row],[数量]]</f>
        <v>0</v>
      </c>
      <c r="AB88" s="3" t="str" cm="1">
        <f t="array" aca="1" ref="AB88" ca="1">IFERROR(INDEX(INDIRECT("現場打コンクリート_"&amp;X88&amp;"[sheet]"),IFERROR(MATCH(Y88,INDIRECT("現場打コンクリート_"&amp;X88&amp;"[設計基準強度]"),-1),1)),"")</f>
        <v/>
      </c>
      <c r="AC88" s="3" t="str" cm="1">
        <f t="array" aca="1" ref="AC88" ca="1">IFERROR(INDEX(INDIRECT("現場打コンクリート_"&amp;X88&amp;"[cell]"),IFERROR(MATCH(Y88,INDIRECT("現場打コンクリート_"&amp;X88&amp;"[設計基準強度]"),-1),1)),"")</f>
        <v/>
      </c>
      <c r="AE88" s="5"/>
      <c r="AF88" s="5"/>
      <c r="AG88" s="3">
        <f>PCaコンクリート_鉄筋無し[[#This Row],[数量]]</f>
        <v>0</v>
      </c>
      <c r="AH8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9" spans="1:35" x14ac:dyDescent="0.65">
      <c r="A89" s="5"/>
      <c r="B89" s="5"/>
      <c r="C89" s="6">
        <f>用途別面積[[#This Row],[床面積]]</f>
        <v>0</v>
      </c>
      <c r="D89" s="6" t="str">
        <f>IFERROR(VLOOKUP(用途別面積[[#This Row],[建物用途]],用途別面積_map[#All],2,FALSE),"")</f>
        <v/>
      </c>
      <c r="E89" s="6" t="str">
        <f>IFERROR(VLOOKUP(用途別面積[[#This Row],[建物用途]],用途別面積_map[#All],3,FALSE),"")</f>
        <v/>
      </c>
      <c r="J89" s="6">
        <f>現場打杭[[#This Row],[コンクリート数量]]</f>
        <v>0</v>
      </c>
      <c r="K89" s="3" t="str" cm="1">
        <f t="array" aca="1" ref="K89" ca="1">IFERROR(INDEX(INDIRECT("現場打杭_"&amp;G89&amp;"[sheet]"),IFERROR(MATCH(H89,INDIRECT("現場打杭_"&amp;G89&amp;"[設計基準強度]"),-1),1)),"")</f>
        <v/>
      </c>
      <c r="L89" s="3" t="str" cm="1">
        <f t="array" aca="1" ref="L89" ca="1">IFERROR(INDEX(INDIRECT("現場打杭_"&amp;G89&amp;"[cell]"),IFERROR(MATCH(H89,INDIRECT("現場打杭_"&amp;G89&amp;"[設計基準強度]"),-1),1)),"")</f>
        <v/>
      </c>
      <c r="N89" s="5"/>
      <c r="O89" s="5"/>
      <c r="P89" s="5"/>
      <c r="Q89" s="5"/>
      <c r="R89" s="5"/>
      <c r="S89" s="5"/>
      <c r="T89" s="3">
        <f>既製杭[[#This Row],[L]]/1000*既製杭[[#This Row],[員数]]</f>
        <v>0</v>
      </c>
      <c r="U89" s="3" t="str">
        <f>IFERROR(INDEX(既製杭_map[sheet],MATCH(既製杭[[#This Row],[杭種]],既製杭_map[杭種],0)),"")</f>
        <v/>
      </c>
      <c r="V89" s="3" t="str">
        <f>IFERROR(INDEX(既製杭_map[cell],MATCH(既製杭[[#This Row],[杭種]],既製杭_map[杭種],0)),"")</f>
        <v/>
      </c>
      <c r="X89" s="5"/>
      <c r="Y89" s="5"/>
      <c r="Z89" s="5"/>
      <c r="AA89" s="3">
        <f>現場打コンクリート[[#This Row],[数量]]</f>
        <v>0</v>
      </c>
      <c r="AB89" s="3" t="str" cm="1">
        <f t="array" aca="1" ref="AB89" ca="1">IFERROR(INDEX(INDIRECT("現場打コンクリート_"&amp;X89&amp;"[sheet]"),IFERROR(MATCH(Y89,INDIRECT("現場打コンクリート_"&amp;X89&amp;"[設計基準強度]"),-1),1)),"")</f>
        <v/>
      </c>
      <c r="AC89" s="3" t="str" cm="1">
        <f t="array" aca="1" ref="AC89" ca="1">IFERROR(INDEX(INDIRECT("現場打コンクリート_"&amp;X89&amp;"[cell]"),IFERROR(MATCH(Y89,INDIRECT("現場打コンクリート_"&amp;X89&amp;"[設計基準強度]"),-1),1)),"")</f>
        <v/>
      </c>
      <c r="AE89" s="5"/>
      <c r="AF89" s="5"/>
      <c r="AG89" s="3">
        <f>PCaコンクリート_鉄筋無し[[#This Row],[数量]]</f>
        <v>0</v>
      </c>
      <c r="AH8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0" spans="1:35" x14ac:dyDescent="0.65">
      <c r="A90" s="5"/>
      <c r="B90" s="5"/>
      <c r="C90" s="6">
        <f>用途別面積[[#This Row],[床面積]]</f>
        <v>0</v>
      </c>
      <c r="D90" s="6" t="str">
        <f>IFERROR(VLOOKUP(用途別面積[[#This Row],[建物用途]],用途別面積_map[#All],2,FALSE),"")</f>
        <v/>
      </c>
      <c r="E90" s="6" t="str">
        <f>IFERROR(VLOOKUP(用途別面積[[#This Row],[建物用途]],用途別面積_map[#All],3,FALSE),"")</f>
        <v/>
      </c>
      <c r="J90" s="6">
        <f>現場打杭[[#This Row],[コンクリート数量]]</f>
        <v>0</v>
      </c>
      <c r="K90" s="3" t="str" cm="1">
        <f t="array" aca="1" ref="K90" ca="1">IFERROR(INDEX(INDIRECT("現場打杭_"&amp;G90&amp;"[sheet]"),IFERROR(MATCH(H90,INDIRECT("現場打杭_"&amp;G90&amp;"[設計基準強度]"),-1),1)),"")</f>
        <v/>
      </c>
      <c r="L90" s="3" t="str" cm="1">
        <f t="array" aca="1" ref="L90" ca="1">IFERROR(INDEX(INDIRECT("現場打杭_"&amp;G90&amp;"[cell]"),IFERROR(MATCH(H90,INDIRECT("現場打杭_"&amp;G90&amp;"[設計基準強度]"),-1),1)),"")</f>
        <v/>
      </c>
      <c r="N90" s="5"/>
      <c r="O90" s="5"/>
      <c r="P90" s="5"/>
      <c r="Q90" s="5"/>
      <c r="R90" s="5"/>
      <c r="S90" s="5"/>
      <c r="T90" s="3">
        <f>既製杭[[#This Row],[L]]/1000*既製杭[[#This Row],[員数]]</f>
        <v>0</v>
      </c>
      <c r="U90" s="3" t="str">
        <f>IFERROR(INDEX(既製杭_map[sheet],MATCH(既製杭[[#This Row],[杭種]],既製杭_map[杭種],0)),"")</f>
        <v/>
      </c>
      <c r="V90" s="3" t="str">
        <f>IFERROR(INDEX(既製杭_map[cell],MATCH(既製杭[[#This Row],[杭種]],既製杭_map[杭種],0)),"")</f>
        <v/>
      </c>
      <c r="X90" s="5"/>
      <c r="Y90" s="5"/>
      <c r="Z90" s="5"/>
      <c r="AA90" s="3">
        <f>現場打コンクリート[[#This Row],[数量]]</f>
        <v>0</v>
      </c>
      <c r="AB90" s="3" t="str" cm="1">
        <f t="array" aca="1" ref="AB90" ca="1">IFERROR(INDEX(INDIRECT("現場打コンクリート_"&amp;X90&amp;"[sheet]"),IFERROR(MATCH(Y90,INDIRECT("現場打コンクリート_"&amp;X90&amp;"[設計基準強度]"),-1),1)),"")</f>
        <v/>
      </c>
      <c r="AC90" s="3" t="str" cm="1">
        <f t="array" aca="1" ref="AC90" ca="1">IFERROR(INDEX(INDIRECT("現場打コンクリート_"&amp;X90&amp;"[cell]"),IFERROR(MATCH(Y90,INDIRECT("現場打コンクリート_"&amp;X90&amp;"[設計基準強度]"),-1),1)),"")</f>
        <v/>
      </c>
      <c r="AE90" s="5"/>
      <c r="AF90" s="5"/>
      <c r="AG90" s="3">
        <f>PCaコンクリート_鉄筋無し[[#This Row],[数量]]</f>
        <v>0</v>
      </c>
      <c r="AH9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1" spans="1:35" x14ac:dyDescent="0.65">
      <c r="A91" s="5"/>
      <c r="B91" s="5"/>
      <c r="C91" s="6">
        <f>用途別面積[[#This Row],[床面積]]</f>
        <v>0</v>
      </c>
      <c r="D91" s="6" t="str">
        <f>IFERROR(VLOOKUP(用途別面積[[#This Row],[建物用途]],用途別面積_map[#All],2,FALSE),"")</f>
        <v/>
      </c>
      <c r="E91" s="6" t="str">
        <f>IFERROR(VLOOKUP(用途別面積[[#This Row],[建物用途]],用途別面積_map[#All],3,FALSE),"")</f>
        <v/>
      </c>
      <c r="J91" s="6">
        <f>現場打杭[[#This Row],[コンクリート数量]]</f>
        <v>0</v>
      </c>
      <c r="K91" s="3" t="str" cm="1">
        <f t="array" aca="1" ref="K91" ca="1">IFERROR(INDEX(INDIRECT("現場打杭_"&amp;G91&amp;"[sheet]"),IFERROR(MATCH(H91,INDIRECT("現場打杭_"&amp;G91&amp;"[設計基準強度]"),-1),1)),"")</f>
        <v/>
      </c>
      <c r="L91" s="3" t="str" cm="1">
        <f t="array" aca="1" ref="L91" ca="1">IFERROR(INDEX(INDIRECT("現場打杭_"&amp;G91&amp;"[cell]"),IFERROR(MATCH(H91,INDIRECT("現場打杭_"&amp;G91&amp;"[設計基準強度]"),-1),1)),"")</f>
        <v/>
      </c>
      <c r="N91" s="5"/>
      <c r="O91" s="5"/>
      <c r="P91" s="5"/>
      <c r="Q91" s="5"/>
      <c r="R91" s="5"/>
      <c r="S91" s="5"/>
      <c r="T91" s="3">
        <f>既製杭[[#This Row],[L]]/1000*既製杭[[#This Row],[員数]]</f>
        <v>0</v>
      </c>
      <c r="U91" s="3" t="str">
        <f>IFERROR(INDEX(既製杭_map[sheet],MATCH(既製杭[[#This Row],[杭種]],既製杭_map[杭種],0)),"")</f>
        <v/>
      </c>
      <c r="V91" s="3" t="str">
        <f>IFERROR(INDEX(既製杭_map[cell],MATCH(既製杭[[#This Row],[杭種]],既製杭_map[杭種],0)),"")</f>
        <v/>
      </c>
      <c r="X91" s="5"/>
      <c r="Y91" s="5"/>
      <c r="Z91" s="5"/>
      <c r="AA91" s="3">
        <f>現場打コンクリート[[#This Row],[数量]]</f>
        <v>0</v>
      </c>
      <c r="AB91" s="3" t="str" cm="1">
        <f t="array" aca="1" ref="AB91" ca="1">IFERROR(INDEX(INDIRECT("現場打コンクリート_"&amp;X91&amp;"[sheet]"),IFERROR(MATCH(Y91,INDIRECT("現場打コンクリート_"&amp;X91&amp;"[設計基準強度]"),-1),1)),"")</f>
        <v/>
      </c>
      <c r="AC91" s="3" t="str" cm="1">
        <f t="array" aca="1" ref="AC91" ca="1">IFERROR(INDEX(INDIRECT("現場打コンクリート_"&amp;X91&amp;"[cell]"),IFERROR(MATCH(Y91,INDIRECT("現場打コンクリート_"&amp;X91&amp;"[設計基準強度]"),-1),1)),"")</f>
        <v/>
      </c>
      <c r="AE91" s="5"/>
      <c r="AF91" s="5"/>
      <c r="AG91" s="3">
        <f>PCaコンクリート_鉄筋無し[[#This Row],[数量]]</f>
        <v>0</v>
      </c>
      <c r="AH9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2" spans="1:35" x14ac:dyDescent="0.65">
      <c r="A92" s="5"/>
      <c r="B92" s="5"/>
      <c r="C92" s="6">
        <f>用途別面積[[#This Row],[床面積]]</f>
        <v>0</v>
      </c>
      <c r="D92" s="6" t="str">
        <f>IFERROR(VLOOKUP(用途別面積[[#This Row],[建物用途]],用途別面積_map[#All],2,FALSE),"")</f>
        <v/>
      </c>
      <c r="E92" s="6" t="str">
        <f>IFERROR(VLOOKUP(用途別面積[[#This Row],[建物用途]],用途別面積_map[#All],3,FALSE),"")</f>
        <v/>
      </c>
      <c r="J92" s="6">
        <f>現場打杭[[#This Row],[コンクリート数量]]</f>
        <v>0</v>
      </c>
      <c r="K92" s="3" t="str" cm="1">
        <f t="array" aca="1" ref="K92" ca="1">IFERROR(INDEX(INDIRECT("現場打杭_"&amp;G92&amp;"[sheet]"),IFERROR(MATCH(H92,INDIRECT("現場打杭_"&amp;G92&amp;"[設計基準強度]"),-1),1)),"")</f>
        <v/>
      </c>
      <c r="L92" s="3" t="str" cm="1">
        <f t="array" aca="1" ref="L92" ca="1">IFERROR(INDEX(INDIRECT("現場打杭_"&amp;G92&amp;"[cell]"),IFERROR(MATCH(H92,INDIRECT("現場打杭_"&amp;G92&amp;"[設計基準強度]"),-1),1)),"")</f>
        <v/>
      </c>
      <c r="N92" s="5"/>
      <c r="O92" s="5"/>
      <c r="P92" s="5"/>
      <c r="Q92" s="5"/>
      <c r="R92" s="5"/>
      <c r="S92" s="5"/>
      <c r="T92" s="3">
        <f>既製杭[[#This Row],[L]]/1000*既製杭[[#This Row],[員数]]</f>
        <v>0</v>
      </c>
      <c r="U92" s="3" t="str">
        <f>IFERROR(INDEX(既製杭_map[sheet],MATCH(既製杭[[#This Row],[杭種]],既製杭_map[杭種],0)),"")</f>
        <v/>
      </c>
      <c r="V92" s="3" t="str">
        <f>IFERROR(INDEX(既製杭_map[cell],MATCH(既製杭[[#This Row],[杭種]],既製杭_map[杭種],0)),"")</f>
        <v/>
      </c>
      <c r="X92" s="5"/>
      <c r="Y92" s="5"/>
      <c r="Z92" s="5"/>
      <c r="AA92" s="3">
        <f>現場打コンクリート[[#This Row],[数量]]</f>
        <v>0</v>
      </c>
      <c r="AB92" s="3" t="str" cm="1">
        <f t="array" aca="1" ref="AB92" ca="1">IFERROR(INDEX(INDIRECT("現場打コンクリート_"&amp;X92&amp;"[sheet]"),IFERROR(MATCH(Y92,INDIRECT("現場打コンクリート_"&amp;X92&amp;"[設計基準強度]"),-1),1)),"")</f>
        <v/>
      </c>
      <c r="AC92" s="3" t="str" cm="1">
        <f t="array" aca="1" ref="AC92" ca="1">IFERROR(INDEX(INDIRECT("現場打コンクリート_"&amp;X92&amp;"[cell]"),IFERROR(MATCH(Y92,INDIRECT("現場打コンクリート_"&amp;X92&amp;"[設計基準強度]"),-1),1)),"")</f>
        <v/>
      </c>
      <c r="AE92" s="5"/>
      <c r="AF92" s="5"/>
      <c r="AG92" s="3">
        <f>PCaコンクリート_鉄筋無し[[#This Row],[数量]]</f>
        <v>0</v>
      </c>
      <c r="AH9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3" spans="1:35" x14ac:dyDescent="0.65">
      <c r="A93" s="5"/>
      <c r="B93" s="5"/>
      <c r="C93" s="6">
        <f>用途別面積[[#This Row],[床面積]]</f>
        <v>0</v>
      </c>
      <c r="D93" s="6" t="str">
        <f>IFERROR(VLOOKUP(用途別面積[[#This Row],[建物用途]],用途別面積_map[#All],2,FALSE),"")</f>
        <v/>
      </c>
      <c r="E93" s="6" t="str">
        <f>IFERROR(VLOOKUP(用途別面積[[#This Row],[建物用途]],用途別面積_map[#All],3,FALSE),"")</f>
        <v/>
      </c>
      <c r="J93" s="6">
        <f>現場打杭[[#This Row],[コンクリート数量]]</f>
        <v>0</v>
      </c>
      <c r="K93" s="3" t="str" cm="1">
        <f t="array" aca="1" ref="K93" ca="1">IFERROR(INDEX(INDIRECT("現場打杭_"&amp;G93&amp;"[sheet]"),IFERROR(MATCH(H93,INDIRECT("現場打杭_"&amp;G93&amp;"[設計基準強度]"),-1),1)),"")</f>
        <v/>
      </c>
      <c r="L93" s="3" t="str" cm="1">
        <f t="array" aca="1" ref="L93" ca="1">IFERROR(INDEX(INDIRECT("現場打杭_"&amp;G93&amp;"[cell]"),IFERROR(MATCH(H93,INDIRECT("現場打杭_"&amp;G93&amp;"[設計基準強度]"),-1),1)),"")</f>
        <v/>
      </c>
      <c r="N93" s="5"/>
      <c r="O93" s="5"/>
      <c r="P93" s="5"/>
      <c r="Q93" s="5"/>
      <c r="R93" s="5"/>
      <c r="S93" s="5"/>
      <c r="T93" s="3">
        <f>既製杭[[#This Row],[L]]/1000*既製杭[[#This Row],[員数]]</f>
        <v>0</v>
      </c>
      <c r="U93" s="3" t="str">
        <f>IFERROR(INDEX(既製杭_map[sheet],MATCH(既製杭[[#This Row],[杭種]],既製杭_map[杭種],0)),"")</f>
        <v/>
      </c>
      <c r="V93" s="3" t="str">
        <f>IFERROR(INDEX(既製杭_map[cell],MATCH(既製杭[[#This Row],[杭種]],既製杭_map[杭種],0)),"")</f>
        <v/>
      </c>
      <c r="X93" s="5"/>
      <c r="Y93" s="5"/>
      <c r="Z93" s="5"/>
      <c r="AA93" s="3">
        <f>現場打コンクリート[[#This Row],[数量]]</f>
        <v>0</v>
      </c>
      <c r="AB93" s="3" t="str" cm="1">
        <f t="array" aca="1" ref="AB93" ca="1">IFERROR(INDEX(INDIRECT("現場打コンクリート_"&amp;X93&amp;"[sheet]"),IFERROR(MATCH(Y93,INDIRECT("現場打コンクリート_"&amp;X93&amp;"[設計基準強度]"),-1),1)),"")</f>
        <v/>
      </c>
      <c r="AC93" s="3" t="str" cm="1">
        <f t="array" aca="1" ref="AC93" ca="1">IFERROR(INDEX(INDIRECT("現場打コンクリート_"&amp;X93&amp;"[cell]"),IFERROR(MATCH(Y93,INDIRECT("現場打コンクリート_"&amp;X93&amp;"[設計基準強度]"),-1),1)),"")</f>
        <v/>
      </c>
      <c r="AE93" s="5"/>
      <c r="AF93" s="5"/>
      <c r="AG93" s="3">
        <f>PCaコンクリート_鉄筋無し[[#This Row],[数量]]</f>
        <v>0</v>
      </c>
      <c r="AH9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4" spans="1:35" x14ac:dyDescent="0.65">
      <c r="A94" s="5"/>
      <c r="B94" s="5"/>
      <c r="C94" s="6">
        <f>用途別面積[[#This Row],[床面積]]</f>
        <v>0</v>
      </c>
      <c r="D94" s="6" t="str">
        <f>IFERROR(VLOOKUP(用途別面積[[#This Row],[建物用途]],用途別面積_map[#All],2,FALSE),"")</f>
        <v/>
      </c>
      <c r="E94" s="6" t="str">
        <f>IFERROR(VLOOKUP(用途別面積[[#This Row],[建物用途]],用途別面積_map[#All],3,FALSE),"")</f>
        <v/>
      </c>
      <c r="J94" s="6">
        <f>現場打杭[[#This Row],[コンクリート数量]]</f>
        <v>0</v>
      </c>
      <c r="K94" s="3" t="str" cm="1">
        <f t="array" aca="1" ref="K94" ca="1">IFERROR(INDEX(INDIRECT("現場打杭_"&amp;G94&amp;"[sheet]"),IFERROR(MATCH(H94,INDIRECT("現場打杭_"&amp;G94&amp;"[設計基準強度]"),-1),1)),"")</f>
        <v/>
      </c>
      <c r="L94" s="3" t="str" cm="1">
        <f t="array" aca="1" ref="L94" ca="1">IFERROR(INDEX(INDIRECT("現場打杭_"&amp;G94&amp;"[cell]"),IFERROR(MATCH(H94,INDIRECT("現場打杭_"&amp;G94&amp;"[設計基準強度]"),-1),1)),"")</f>
        <v/>
      </c>
      <c r="N94" s="5"/>
      <c r="O94" s="5"/>
      <c r="P94" s="5"/>
      <c r="Q94" s="5"/>
      <c r="R94" s="5"/>
      <c r="S94" s="5"/>
      <c r="T94" s="3">
        <f>既製杭[[#This Row],[L]]/1000*既製杭[[#This Row],[員数]]</f>
        <v>0</v>
      </c>
      <c r="U94" s="3" t="str">
        <f>IFERROR(INDEX(既製杭_map[sheet],MATCH(既製杭[[#This Row],[杭種]],既製杭_map[杭種],0)),"")</f>
        <v/>
      </c>
      <c r="V94" s="3" t="str">
        <f>IFERROR(INDEX(既製杭_map[cell],MATCH(既製杭[[#This Row],[杭種]],既製杭_map[杭種],0)),"")</f>
        <v/>
      </c>
      <c r="X94" s="5"/>
      <c r="Y94" s="5"/>
      <c r="Z94" s="5"/>
      <c r="AA94" s="3">
        <f>現場打コンクリート[[#This Row],[数量]]</f>
        <v>0</v>
      </c>
      <c r="AB94" s="3" t="str" cm="1">
        <f t="array" aca="1" ref="AB94" ca="1">IFERROR(INDEX(INDIRECT("現場打コンクリート_"&amp;X94&amp;"[sheet]"),IFERROR(MATCH(Y94,INDIRECT("現場打コンクリート_"&amp;X94&amp;"[設計基準強度]"),-1),1)),"")</f>
        <v/>
      </c>
      <c r="AC94" s="3" t="str" cm="1">
        <f t="array" aca="1" ref="AC94" ca="1">IFERROR(INDEX(INDIRECT("現場打コンクリート_"&amp;X94&amp;"[cell]"),IFERROR(MATCH(Y94,INDIRECT("現場打コンクリート_"&amp;X94&amp;"[設計基準強度]"),-1),1)),"")</f>
        <v/>
      </c>
      <c r="AE94" s="5"/>
      <c r="AF94" s="5"/>
      <c r="AG94" s="3">
        <f>PCaコンクリート_鉄筋無し[[#This Row],[数量]]</f>
        <v>0</v>
      </c>
      <c r="AH9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5" spans="1:35" x14ac:dyDescent="0.65">
      <c r="A95" s="5"/>
      <c r="B95" s="5"/>
      <c r="C95" s="6">
        <f>用途別面積[[#This Row],[床面積]]</f>
        <v>0</v>
      </c>
      <c r="D95" s="6" t="str">
        <f>IFERROR(VLOOKUP(用途別面積[[#This Row],[建物用途]],用途別面積_map[#All],2,FALSE),"")</f>
        <v/>
      </c>
      <c r="E95" s="6" t="str">
        <f>IFERROR(VLOOKUP(用途別面積[[#This Row],[建物用途]],用途別面積_map[#All],3,FALSE),"")</f>
        <v/>
      </c>
      <c r="J95" s="6">
        <f>現場打杭[[#This Row],[コンクリート数量]]</f>
        <v>0</v>
      </c>
      <c r="K95" s="3" t="str" cm="1">
        <f t="array" aca="1" ref="K95" ca="1">IFERROR(INDEX(INDIRECT("現場打杭_"&amp;G95&amp;"[sheet]"),IFERROR(MATCH(H95,INDIRECT("現場打杭_"&amp;G95&amp;"[設計基準強度]"),-1),1)),"")</f>
        <v/>
      </c>
      <c r="L95" s="3" t="str" cm="1">
        <f t="array" aca="1" ref="L95" ca="1">IFERROR(INDEX(INDIRECT("現場打杭_"&amp;G95&amp;"[cell]"),IFERROR(MATCH(H95,INDIRECT("現場打杭_"&amp;G95&amp;"[設計基準強度]"),-1),1)),"")</f>
        <v/>
      </c>
      <c r="N95" s="5"/>
      <c r="O95" s="5"/>
      <c r="P95" s="5"/>
      <c r="Q95" s="5"/>
      <c r="R95" s="5"/>
      <c r="S95" s="5"/>
      <c r="T95" s="3">
        <f>既製杭[[#This Row],[L]]/1000*既製杭[[#This Row],[員数]]</f>
        <v>0</v>
      </c>
      <c r="U95" s="3" t="str">
        <f>IFERROR(INDEX(既製杭_map[sheet],MATCH(既製杭[[#This Row],[杭種]],既製杭_map[杭種],0)),"")</f>
        <v/>
      </c>
      <c r="V95" s="3" t="str">
        <f>IFERROR(INDEX(既製杭_map[cell],MATCH(既製杭[[#This Row],[杭種]],既製杭_map[杭種],0)),"")</f>
        <v/>
      </c>
      <c r="X95" s="5"/>
      <c r="Y95" s="5"/>
      <c r="Z95" s="5"/>
      <c r="AA95" s="3">
        <f>現場打コンクリート[[#This Row],[数量]]</f>
        <v>0</v>
      </c>
      <c r="AB95" s="3" t="str" cm="1">
        <f t="array" aca="1" ref="AB95" ca="1">IFERROR(INDEX(INDIRECT("現場打コンクリート_"&amp;X95&amp;"[sheet]"),IFERROR(MATCH(Y95,INDIRECT("現場打コンクリート_"&amp;X95&amp;"[設計基準強度]"),-1),1)),"")</f>
        <v/>
      </c>
      <c r="AC95" s="3" t="str" cm="1">
        <f t="array" aca="1" ref="AC95" ca="1">IFERROR(INDEX(INDIRECT("現場打コンクリート_"&amp;X95&amp;"[cell]"),IFERROR(MATCH(Y95,INDIRECT("現場打コンクリート_"&amp;X95&amp;"[設計基準強度]"),-1),1)),"")</f>
        <v/>
      </c>
      <c r="AE95" s="5"/>
      <c r="AF95" s="5"/>
      <c r="AG95" s="3">
        <f>PCaコンクリート_鉄筋無し[[#This Row],[数量]]</f>
        <v>0</v>
      </c>
      <c r="AH9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6" spans="1:35" x14ac:dyDescent="0.65">
      <c r="A96" s="5"/>
      <c r="B96" s="5"/>
      <c r="C96" s="6">
        <f>用途別面積[[#This Row],[床面積]]</f>
        <v>0</v>
      </c>
      <c r="D96" s="6" t="str">
        <f>IFERROR(VLOOKUP(用途別面積[[#This Row],[建物用途]],用途別面積_map[#All],2,FALSE),"")</f>
        <v/>
      </c>
      <c r="E96" s="6" t="str">
        <f>IFERROR(VLOOKUP(用途別面積[[#This Row],[建物用途]],用途別面積_map[#All],3,FALSE),"")</f>
        <v/>
      </c>
      <c r="J96" s="6">
        <f>現場打杭[[#This Row],[コンクリート数量]]</f>
        <v>0</v>
      </c>
      <c r="K96" s="3" t="str" cm="1">
        <f t="array" aca="1" ref="K96" ca="1">IFERROR(INDEX(INDIRECT("現場打杭_"&amp;G96&amp;"[sheet]"),IFERROR(MATCH(H96,INDIRECT("現場打杭_"&amp;G96&amp;"[設計基準強度]"),-1),1)),"")</f>
        <v/>
      </c>
      <c r="L96" s="3" t="str" cm="1">
        <f t="array" aca="1" ref="L96" ca="1">IFERROR(INDEX(INDIRECT("現場打杭_"&amp;G96&amp;"[cell]"),IFERROR(MATCH(H96,INDIRECT("現場打杭_"&amp;G96&amp;"[設計基準強度]"),-1),1)),"")</f>
        <v/>
      </c>
      <c r="N96" s="5"/>
      <c r="O96" s="5"/>
      <c r="P96" s="5"/>
      <c r="Q96" s="5"/>
      <c r="R96" s="5"/>
      <c r="S96" s="5"/>
      <c r="T96" s="3">
        <f>既製杭[[#This Row],[L]]/1000*既製杭[[#This Row],[員数]]</f>
        <v>0</v>
      </c>
      <c r="U96" s="3" t="str">
        <f>IFERROR(INDEX(既製杭_map[sheet],MATCH(既製杭[[#This Row],[杭種]],既製杭_map[杭種],0)),"")</f>
        <v/>
      </c>
      <c r="V96" s="3" t="str">
        <f>IFERROR(INDEX(既製杭_map[cell],MATCH(既製杭[[#This Row],[杭種]],既製杭_map[杭種],0)),"")</f>
        <v/>
      </c>
      <c r="X96" s="5"/>
      <c r="Y96" s="5"/>
      <c r="Z96" s="5"/>
      <c r="AA96" s="3">
        <f>現場打コンクリート[[#This Row],[数量]]</f>
        <v>0</v>
      </c>
      <c r="AB96" s="3" t="str" cm="1">
        <f t="array" aca="1" ref="AB96" ca="1">IFERROR(INDEX(INDIRECT("現場打コンクリート_"&amp;X96&amp;"[sheet]"),IFERROR(MATCH(Y96,INDIRECT("現場打コンクリート_"&amp;X96&amp;"[設計基準強度]"),-1),1)),"")</f>
        <v/>
      </c>
      <c r="AC96" s="3" t="str" cm="1">
        <f t="array" aca="1" ref="AC96" ca="1">IFERROR(INDEX(INDIRECT("現場打コンクリート_"&amp;X96&amp;"[cell]"),IFERROR(MATCH(Y96,INDIRECT("現場打コンクリート_"&amp;X96&amp;"[設計基準強度]"),-1),1)),"")</f>
        <v/>
      </c>
      <c r="AE96" s="5"/>
      <c r="AF96" s="5"/>
      <c r="AG96" s="3">
        <f>PCaコンクリート_鉄筋無し[[#This Row],[数量]]</f>
        <v>0</v>
      </c>
      <c r="AH9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7" spans="1:35" x14ac:dyDescent="0.65">
      <c r="A97" s="5"/>
      <c r="B97" s="5"/>
      <c r="C97" s="6">
        <f>用途別面積[[#This Row],[床面積]]</f>
        <v>0</v>
      </c>
      <c r="D97" s="6" t="str">
        <f>IFERROR(VLOOKUP(用途別面積[[#This Row],[建物用途]],用途別面積_map[#All],2,FALSE),"")</f>
        <v/>
      </c>
      <c r="E97" s="6" t="str">
        <f>IFERROR(VLOOKUP(用途別面積[[#This Row],[建物用途]],用途別面積_map[#All],3,FALSE),"")</f>
        <v/>
      </c>
      <c r="J97" s="6">
        <f>現場打杭[[#This Row],[コンクリート数量]]</f>
        <v>0</v>
      </c>
      <c r="K97" s="3" t="str" cm="1">
        <f t="array" aca="1" ref="K97" ca="1">IFERROR(INDEX(INDIRECT("現場打杭_"&amp;G97&amp;"[sheet]"),IFERROR(MATCH(H97,INDIRECT("現場打杭_"&amp;G97&amp;"[設計基準強度]"),-1),1)),"")</f>
        <v/>
      </c>
      <c r="L97" s="3" t="str" cm="1">
        <f t="array" aca="1" ref="L97" ca="1">IFERROR(INDEX(INDIRECT("現場打杭_"&amp;G97&amp;"[cell]"),IFERROR(MATCH(H97,INDIRECT("現場打杭_"&amp;G97&amp;"[設計基準強度]"),-1),1)),"")</f>
        <v/>
      </c>
      <c r="N97" s="5"/>
      <c r="O97" s="5"/>
      <c r="P97" s="5"/>
      <c r="Q97" s="5"/>
      <c r="R97" s="5"/>
      <c r="S97" s="5"/>
      <c r="T97" s="3">
        <f>既製杭[[#This Row],[L]]/1000*既製杭[[#This Row],[員数]]</f>
        <v>0</v>
      </c>
      <c r="U97" s="3" t="str">
        <f>IFERROR(INDEX(既製杭_map[sheet],MATCH(既製杭[[#This Row],[杭種]],既製杭_map[杭種],0)),"")</f>
        <v/>
      </c>
      <c r="V97" s="3" t="str">
        <f>IFERROR(INDEX(既製杭_map[cell],MATCH(既製杭[[#This Row],[杭種]],既製杭_map[杭種],0)),"")</f>
        <v/>
      </c>
      <c r="X97" s="5"/>
      <c r="Y97" s="5"/>
      <c r="Z97" s="5"/>
      <c r="AA97" s="3">
        <f>現場打コンクリート[[#This Row],[数量]]</f>
        <v>0</v>
      </c>
      <c r="AB97" s="3" t="str" cm="1">
        <f t="array" aca="1" ref="AB97" ca="1">IFERROR(INDEX(INDIRECT("現場打コンクリート_"&amp;X97&amp;"[sheet]"),IFERROR(MATCH(Y97,INDIRECT("現場打コンクリート_"&amp;X97&amp;"[設計基準強度]"),-1),1)),"")</f>
        <v/>
      </c>
      <c r="AC97" s="3" t="str" cm="1">
        <f t="array" aca="1" ref="AC97" ca="1">IFERROR(INDEX(INDIRECT("現場打コンクリート_"&amp;X97&amp;"[cell]"),IFERROR(MATCH(Y97,INDIRECT("現場打コンクリート_"&amp;X97&amp;"[設計基準強度]"),-1),1)),"")</f>
        <v/>
      </c>
      <c r="AE97" s="5"/>
      <c r="AF97" s="5"/>
      <c r="AG97" s="3">
        <f>PCaコンクリート_鉄筋無し[[#This Row],[数量]]</f>
        <v>0</v>
      </c>
      <c r="AH9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8" spans="1:35" x14ac:dyDescent="0.65">
      <c r="A98" s="5"/>
      <c r="B98" s="5"/>
      <c r="C98" s="6">
        <f>用途別面積[[#This Row],[床面積]]</f>
        <v>0</v>
      </c>
      <c r="D98" s="6" t="str">
        <f>IFERROR(VLOOKUP(用途別面積[[#This Row],[建物用途]],用途別面積_map[#All],2,FALSE),"")</f>
        <v/>
      </c>
      <c r="E98" s="6" t="str">
        <f>IFERROR(VLOOKUP(用途別面積[[#This Row],[建物用途]],用途別面積_map[#All],3,FALSE),"")</f>
        <v/>
      </c>
      <c r="J98" s="6">
        <f>現場打杭[[#This Row],[コンクリート数量]]</f>
        <v>0</v>
      </c>
      <c r="K98" s="3" t="str" cm="1">
        <f t="array" aca="1" ref="K98" ca="1">IFERROR(INDEX(INDIRECT("現場打杭_"&amp;G98&amp;"[sheet]"),IFERROR(MATCH(H98,INDIRECT("現場打杭_"&amp;G98&amp;"[設計基準強度]"),-1),1)),"")</f>
        <v/>
      </c>
      <c r="L98" s="3" t="str" cm="1">
        <f t="array" aca="1" ref="L98" ca="1">IFERROR(INDEX(INDIRECT("現場打杭_"&amp;G98&amp;"[cell]"),IFERROR(MATCH(H98,INDIRECT("現場打杭_"&amp;G98&amp;"[設計基準強度]"),-1),1)),"")</f>
        <v/>
      </c>
      <c r="N98" s="5"/>
      <c r="O98" s="5"/>
      <c r="P98" s="5"/>
      <c r="Q98" s="5"/>
      <c r="R98" s="5"/>
      <c r="S98" s="5"/>
      <c r="T98" s="3">
        <f>既製杭[[#This Row],[L]]/1000*既製杭[[#This Row],[員数]]</f>
        <v>0</v>
      </c>
      <c r="U98" s="3" t="str">
        <f>IFERROR(INDEX(既製杭_map[sheet],MATCH(既製杭[[#This Row],[杭種]],既製杭_map[杭種],0)),"")</f>
        <v/>
      </c>
      <c r="V98" s="3" t="str">
        <f>IFERROR(INDEX(既製杭_map[cell],MATCH(既製杭[[#This Row],[杭種]],既製杭_map[杭種],0)),"")</f>
        <v/>
      </c>
      <c r="X98" s="5"/>
      <c r="Y98" s="5"/>
      <c r="Z98" s="5"/>
      <c r="AA98" s="3">
        <f>現場打コンクリート[[#This Row],[数量]]</f>
        <v>0</v>
      </c>
      <c r="AB98" s="3" t="str" cm="1">
        <f t="array" aca="1" ref="AB98" ca="1">IFERROR(INDEX(INDIRECT("現場打コンクリート_"&amp;X98&amp;"[sheet]"),IFERROR(MATCH(Y98,INDIRECT("現場打コンクリート_"&amp;X98&amp;"[設計基準強度]"),-1),1)),"")</f>
        <v/>
      </c>
      <c r="AC98" s="3" t="str" cm="1">
        <f t="array" aca="1" ref="AC98" ca="1">IFERROR(INDEX(INDIRECT("現場打コンクリート_"&amp;X98&amp;"[cell]"),IFERROR(MATCH(Y98,INDIRECT("現場打コンクリート_"&amp;X98&amp;"[設計基準強度]"),-1),1)),"")</f>
        <v/>
      </c>
      <c r="AE98" s="5"/>
      <c r="AF98" s="5"/>
      <c r="AG98" s="3">
        <f>PCaコンクリート_鉄筋無し[[#This Row],[数量]]</f>
        <v>0</v>
      </c>
      <c r="AH9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9" spans="1:35" x14ac:dyDescent="0.65">
      <c r="A99" s="5"/>
      <c r="B99" s="5"/>
      <c r="C99" s="6">
        <f>用途別面積[[#This Row],[床面積]]</f>
        <v>0</v>
      </c>
      <c r="D99" s="6" t="str">
        <f>IFERROR(VLOOKUP(用途別面積[[#This Row],[建物用途]],用途別面積_map[#All],2,FALSE),"")</f>
        <v/>
      </c>
      <c r="E99" s="6" t="str">
        <f>IFERROR(VLOOKUP(用途別面積[[#This Row],[建物用途]],用途別面積_map[#All],3,FALSE),"")</f>
        <v/>
      </c>
      <c r="J99" s="6">
        <f>現場打杭[[#This Row],[コンクリート数量]]</f>
        <v>0</v>
      </c>
      <c r="K99" s="3" t="str" cm="1">
        <f t="array" aca="1" ref="K99" ca="1">IFERROR(INDEX(INDIRECT("現場打杭_"&amp;G99&amp;"[sheet]"),IFERROR(MATCH(H99,INDIRECT("現場打杭_"&amp;G99&amp;"[設計基準強度]"),-1),1)),"")</f>
        <v/>
      </c>
      <c r="L99" s="3" t="str" cm="1">
        <f t="array" aca="1" ref="L99" ca="1">IFERROR(INDEX(INDIRECT("現場打杭_"&amp;G99&amp;"[cell]"),IFERROR(MATCH(H99,INDIRECT("現場打杭_"&amp;G99&amp;"[設計基準強度]"),-1),1)),"")</f>
        <v/>
      </c>
      <c r="N99" s="5"/>
      <c r="O99" s="5"/>
      <c r="P99" s="5"/>
      <c r="Q99" s="5"/>
      <c r="R99" s="5"/>
      <c r="S99" s="5"/>
      <c r="T99" s="3">
        <f>既製杭[[#This Row],[L]]/1000*既製杭[[#This Row],[員数]]</f>
        <v>0</v>
      </c>
      <c r="U99" s="3" t="str">
        <f>IFERROR(INDEX(既製杭_map[sheet],MATCH(既製杭[[#This Row],[杭種]],既製杭_map[杭種],0)),"")</f>
        <v/>
      </c>
      <c r="V99" s="3" t="str">
        <f>IFERROR(INDEX(既製杭_map[cell],MATCH(既製杭[[#This Row],[杭種]],既製杭_map[杭種],0)),"")</f>
        <v/>
      </c>
      <c r="X99" s="5"/>
      <c r="Y99" s="5"/>
      <c r="Z99" s="5"/>
      <c r="AA99" s="3">
        <f>現場打コンクリート[[#This Row],[数量]]</f>
        <v>0</v>
      </c>
      <c r="AB99" s="3" t="str" cm="1">
        <f t="array" aca="1" ref="AB99" ca="1">IFERROR(INDEX(INDIRECT("現場打コンクリート_"&amp;X99&amp;"[sheet]"),IFERROR(MATCH(Y99,INDIRECT("現場打コンクリート_"&amp;X99&amp;"[設計基準強度]"),-1),1)),"")</f>
        <v/>
      </c>
      <c r="AC99" s="3" t="str" cm="1">
        <f t="array" aca="1" ref="AC99" ca="1">IFERROR(INDEX(INDIRECT("現場打コンクリート_"&amp;X99&amp;"[cell]"),IFERROR(MATCH(Y99,INDIRECT("現場打コンクリート_"&amp;X99&amp;"[設計基準強度]"),-1),1)),"")</f>
        <v/>
      </c>
      <c r="AE99" s="5"/>
      <c r="AF99" s="5"/>
      <c r="AG99" s="3">
        <f>PCaコンクリート_鉄筋無し[[#This Row],[数量]]</f>
        <v>0</v>
      </c>
      <c r="AH9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00" spans="1:35" x14ac:dyDescent="0.65">
      <c r="A100" s="5"/>
      <c r="B100" s="5"/>
      <c r="C100" s="6">
        <f>用途別面積[[#This Row],[床面積]]</f>
        <v>0</v>
      </c>
      <c r="D100" s="6" t="str">
        <f>IFERROR(VLOOKUP(用途別面積[[#This Row],[建物用途]],用途別面積_map[#All],2,FALSE),"")</f>
        <v/>
      </c>
      <c r="E100" s="6" t="str">
        <f>IFERROR(VLOOKUP(用途別面積[[#This Row],[建物用途]],用途別面積_map[#All],3,FALSE),"")</f>
        <v/>
      </c>
      <c r="J100" s="6">
        <f>現場打杭[[#This Row],[コンクリート数量]]</f>
        <v>0</v>
      </c>
      <c r="K100" s="3" t="str" cm="1">
        <f t="array" aca="1" ref="K100" ca="1">IFERROR(INDEX(INDIRECT("現場打杭_"&amp;G100&amp;"[sheet]"),IFERROR(MATCH(H100,INDIRECT("現場打杭_"&amp;G100&amp;"[設計基準強度]"),-1),1)),"")</f>
        <v/>
      </c>
      <c r="L100" s="3" t="str" cm="1">
        <f t="array" aca="1" ref="L100" ca="1">IFERROR(INDEX(INDIRECT("現場打杭_"&amp;G100&amp;"[cell]"),IFERROR(MATCH(H100,INDIRECT("現場打杭_"&amp;G100&amp;"[設計基準強度]"),-1),1)),"")</f>
        <v/>
      </c>
      <c r="N100" s="5"/>
      <c r="O100" s="5"/>
      <c r="P100" s="5"/>
      <c r="Q100" s="5"/>
      <c r="R100" s="5"/>
      <c r="S100" s="5"/>
      <c r="T100" s="3">
        <f>既製杭[[#This Row],[L]]/1000*既製杭[[#This Row],[員数]]</f>
        <v>0</v>
      </c>
      <c r="U100" s="3" t="str">
        <f>IFERROR(INDEX(既製杭_map[sheet],MATCH(既製杭[[#This Row],[杭種]],既製杭_map[杭種],0)),"")</f>
        <v/>
      </c>
      <c r="V100" s="3" t="str">
        <f>IFERROR(INDEX(既製杭_map[cell],MATCH(既製杭[[#This Row],[杭種]],既製杭_map[杭種],0)),"")</f>
        <v/>
      </c>
      <c r="X100" s="5"/>
      <c r="Y100" s="5"/>
      <c r="Z100" s="5"/>
      <c r="AA100" s="3">
        <f>現場打コンクリート[[#This Row],[数量]]</f>
        <v>0</v>
      </c>
      <c r="AB100" s="3" t="str" cm="1">
        <f t="array" aca="1" ref="AB100" ca="1">IFERROR(INDEX(INDIRECT("現場打コンクリート_"&amp;X100&amp;"[sheet]"),IFERROR(MATCH(Y100,INDIRECT("現場打コンクリート_"&amp;X100&amp;"[設計基準強度]"),-1),1)),"")</f>
        <v/>
      </c>
      <c r="AC100" s="3" t="str" cm="1">
        <f t="array" aca="1" ref="AC100" ca="1">IFERROR(INDEX(INDIRECT("現場打コンクリート_"&amp;X100&amp;"[cell]"),IFERROR(MATCH(Y100,INDIRECT("現場打コンクリート_"&amp;X100&amp;"[設計基準強度]"),-1),1)),"")</f>
        <v/>
      </c>
      <c r="AE100" s="5"/>
      <c r="AF100" s="5"/>
      <c r="AG100" s="3">
        <f>PCaコンクリート_鉄筋無し[[#This Row],[数量]]</f>
        <v>0</v>
      </c>
      <c r="AH10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0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</sheetData>
  <phoneticPr fontId="1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A16"/>
  <sheetViews>
    <sheetView workbookViewId="0"/>
  </sheetViews>
  <sheetFormatPr defaultRowHeight="18.45" x14ac:dyDescent="0.65"/>
  <cols>
    <col min="1" max="1" width="16.42578125" style="4" bestFit="1" customWidth="1"/>
    <col min="2" max="2" width="36.28515625" style="4" bestFit="1" customWidth="1"/>
    <col min="3" max="3" width="6.2109375" style="4" bestFit="1" customWidth="1"/>
    <col min="4" max="4" width="3.640625" customWidth="1"/>
    <col min="5" max="5" width="7.640625" customWidth="1"/>
    <col min="6" max="6" width="35.2109375" bestFit="1" customWidth="1"/>
    <col min="7" max="7" width="6.2109375" bestFit="1" customWidth="1"/>
    <col min="8" max="8" width="3.640625" customWidth="1"/>
    <col min="9" max="9" width="7.640625" customWidth="1"/>
    <col min="10" max="10" width="35.2109375" bestFit="1" customWidth="1"/>
    <col min="11" max="11" width="6.2109375" bestFit="1" customWidth="1"/>
    <col min="12" max="12" width="3.640625" customWidth="1"/>
    <col min="14" max="14" width="35.2109375" bestFit="1" customWidth="1"/>
    <col min="15" max="15" width="6.2109375" bestFit="1" customWidth="1"/>
    <col min="17" max="17" width="13.640625" customWidth="1"/>
    <col min="21" max="21" width="13.640625" customWidth="1"/>
    <col min="25" max="25" width="13.640625" customWidth="1"/>
  </cols>
  <sheetData>
    <row r="1" spans="1:27" x14ac:dyDescent="0.65">
      <c r="A1" t="s">
        <v>76</v>
      </c>
      <c r="E1" t="s">
        <v>112</v>
      </c>
      <c r="I1" t="s">
        <v>117</v>
      </c>
      <c r="M1" t="s">
        <v>118</v>
      </c>
      <c r="Q1" t="s">
        <v>128</v>
      </c>
      <c r="U1" t="s">
        <v>142</v>
      </c>
      <c r="Y1" t="s">
        <v>163</v>
      </c>
    </row>
    <row r="2" spans="1:27" x14ac:dyDescent="0.65">
      <c r="A2" t="s">
        <v>77</v>
      </c>
      <c r="B2" t="s">
        <v>10</v>
      </c>
      <c r="C2" t="s">
        <v>11</v>
      </c>
      <c r="E2" t="s">
        <v>104</v>
      </c>
      <c r="F2" t="s">
        <v>105</v>
      </c>
      <c r="G2" t="s">
        <v>106</v>
      </c>
      <c r="I2" t="s">
        <v>104</v>
      </c>
      <c r="J2" t="s">
        <v>105</v>
      </c>
      <c r="K2" t="s">
        <v>106</v>
      </c>
      <c r="M2" t="s">
        <v>119</v>
      </c>
      <c r="N2" t="s">
        <v>105</v>
      </c>
      <c r="O2" t="s">
        <v>106</v>
      </c>
      <c r="Q2" t="s">
        <v>104</v>
      </c>
      <c r="R2" t="s">
        <v>105</v>
      </c>
      <c r="S2" t="s">
        <v>106</v>
      </c>
      <c r="U2" t="s">
        <v>104</v>
      </c>
      <c r="V2" t="s">
        <v>105</v>
      </c>
      <c r="W2" t="s">
        <v>106</v>
      </c>
      <c r="Y2" t="s">
        <v>104</v>
      </c>
      <c r="Z2" t="s">
        <v>105</v>
      </c>
      <c r="AA2" t="s">
        <v>106</v>
      </c>
    </row>
    <row r="3" spans="1:27" x14ac:dyDescent="0.65">
      <c r="A3" t="s">
        <v>73</v>
      </c>
      <c r="B3" t="s">
        <v>107</v>
      </c>
      <c r="C3" t="s">
        <v>79</v>
      </c>
      <c r="E3">
        <v>36</v>
      </c>
      <c r="F3" t="s">
        <v>78</v>
      </c>
      <c r="G3" t="s">
        <v>111</v>
      </c>
      <c r="I3">
        <v>36</v>
      </c>
      <c r="J3" t="s">
        <v>78</v>
      </c>
      <c r="K3" t="s">
        <v>114</v>
      </c>
      <c r="M3" t="s">
        <v>120</v>
      </c>
      <c r="N3" t="s">
        <v>78</v>
      </c>
      <c r="O3" t="s">
        <v>124</v>
      </c>
      <c r="Q3">
        <v>120</v>
      </c>
      <c r="R3" t="s">
        <v>78</v>
      </c>
      <c r="S3" t="s">
        <v>141</v>
      </c>
      <c r="U3">
        <v>18</v>
      </c>
      <c r="V3" t="s">
        <v>78</v>
      </c>
      <c r="W3" t="s">
        <v>143</v>
      </c>
      <c r="Y3">
        <v>24</v>
      </c>
      <c r="Z3" t="s">
        <v>78</v>
      </c>
      <c r="AA3" t="s">
        <v>152</v>
      </c>
    </row>
    <row r="4" spans="1:27" x14ac:dyDescent="0.65">
      <c r="A4" t="s">
        <v>74</v>
      </c>
      <c r="B4" t="s">
        <v>107</v>
      </c>
      <c r="C4" t="s">
        <v>80</v>
      </c>
      <c r="E4">
        <v>30</v>
      </c>
      <c r="F4" t="s">
        <v>78</v>
      </c>
      <c r="G4" t="s">
        <v>110</v>
      </c>
      <c r="I4">
        <v>30</v>
      </c>
      <c r="J4" t="s">
        <v>78</v>
      </c>
      <c r="K4" t="s">
        <v>115</v>
      </c>
      <c r="M4" t="s">
        <v>121</v>
      </c>
      <c r="N4" t="s">
        <v>78</v>
      </c>
      <c r="O4" t="s">
        <v>125</v>
      </c>
      <c r="Q4">
        <v>100</v>
      </c>
      <c r="R4" t="s">
        <v>78</v>
      </c>
      <c r="S4" t="s">
        <v>140</v>
      </c>
      <c r="U4">
        <v>21</v>
      </c>
      <c r="V4" t="s">
        <v>78</v>
      </c>
      <c r="W4" t="s">
        <v>144</v>
      </c>
      <c r="Y4">
        <v>27</v>
      </c>
      <c r="Z4" t="s">
        <v>78</v>
      </c>
      <c r="AA4" t="s">
        <v>153</v>
      </c>
    </row>
    <row r="5" spans="1:27" x14ac:dyDescent="0.65">
      <c r="A5" t="s">
        <v>75</v>
      </c>
      <c r="B5" t="s">
        <v>107</v>
      </c>
      <c r="C5" t="s">
        <v>81</v>
      </c>
      <c r="E5">
        <v>27</v>
      </c>
      <c r="F5" t="s">
        <v>78</v>
      </c>
      <c r="G5" t="s">
        <v>109</v>
      </c>
      <c r="I5">
        <v>27</v>
      </c>
      <c r="J5" t="s">
        <v>78</v>
      </c>
      <c r="K5" t="s">
        <v>116</v>
      </c>
      <c r="M5" t="s">
        <v>122</v>
      </c>
      <c r="N5" t="s">
        <v>78</v>
      </c>
      <c r="O5" t="s">
        <v>126</v>
      </c>
      <c r="Q5">
        <v>80</v>
      </c>
      <c r="R5" t="s">
        <v>78</v>
      </c>
      <c r="S5" t="s">
        <v>139</v>
      </c>
      <c r="U5">
        <v>24</v>
      </c>
      <c r="V5" t="s">
        <v>78</v>
      </c>
      <c r="W5" t="s">
        <v>145</v>
      </c>
      <c r="Y5">
        <v>30</v>
      </c>
      <c r="Z5" t="s">
        <v>78</v>
      </c>
      <c r="AA5" t="s">
        <v>154</v>
      </c>
    </row>
    <row r="6" spans="1:27" x14ac:dyDescent="0.65">
      <c r="A6" t="s">
        <v>82</v>
      </c>
      <c r="B6" t="s">
        <v>107</v>
      </c>
      <c r="C6" t="s">
        <v>83</v>
      </c>
      <c r="E6">
        <v>24</v>
      </c>
      <c r="F6" t="s">
        <v>78</v>
      </c>
      <c r="G6" t="s">
        <v>108</v>
      </c>
      <c r="I6">
        <v>24</v>
      </c>
      <c r="J6" t="s">
        <v>78</v>
      </c>
      <c r="K6" t="s">
        <v>113</v>
      </c>
      <c r="M6" t="s">
        <v>123</v>
      </c>
      <c r="N6" t="s">
        <v>78</v>
      </c>
      <c r="O6" t="s">
        <v>127</v>
      </c>
      <c r="Q6">
        <v>60</v>
      </c>
      <c r="R6" t="s">
        <v>78</v>
      </c>
      <c r="S6" t="s">
        <v>138</v>
      </c>
      <c r="U6">
        <v>27</v>
      </c>
      <c r="V6" t="s">
        <v>78</v>
      </c>
      <c r="W6" t="s">
        <v>146</v>
      </c>
      <c r="Y6">
        <v>36</v>
      </c>
      <c r="Z6" t="s">
        <v>78</v>
      </c>
      <c r="AA6" t="s">
        <v>155</v>
      </c>
    </row>
    <row r="7" spans="1:27" x14ac:dyDescent="0.65">
      <c r="A7" t="s">
        <v>84</v>
      </c>
      <c r="B7" t="s">
        <v>107</v>
      </c>
      <c r="C7" t="s">
        <v>85</v>
      </c>
      <c r="Q7">
        <v>48</v>
      </c>
      <c r="R7" t="s">
        <v>78</v>
      </c>
      <c r="S7" t="s">
        <v>137</v>
      </c>
      <c r="U7">
        <v>30</v>
      </c>
      <c r="V7" t="s">
        <v>78</v>
      </c>
      <c r="W7" t="s">
        <v>147</v>
      </c>
      <c r="Y7">
        <v>42</v>
      </c>
      <c r="Z7" t="s">
        <v>78</v>
      </c>
      <c r="AA7" t="s">
        <v>156</v>
      </c>
    </row>
    <row r="8" spans="1:27" x14ac:dyDescent="0.65">
      <c r="A8" t="s">
        <v>86</v>
      </c>
      <c r="B8" t="s">
        <v>107</v>
      </c>
      <c r="C8" t="s">
        <v>87</v>
      </c>
      <c r="Q8">
        <v>45</v>
      </c>
      <c r="R8" t="s">
        <v>78</v>
      </c>
      <c r="S8" t="s">
        <v>136</v>
      </c>
      <c r="U8">
        <v>36</v>
      </c>
      <c r="V8" t="s">
        <v>78</v>
      </c>
      <c r="W8" t="s">
        <v>148</v>
      </c>
      <c r="Y8">
        <v>45</v>
      </c>
      <c r="Z8" t="s">
        <v>78</v>
      </c>
      <c r="AA8" t="s">
        <v>157</v>
      </c>
    </row>
    <row r="9" spans="1:27" x14ac:dyDescent="0.65">
      <c r="A9" t="s">
        <v>88</v>
      </c>
      <c r="B9" t="s">
        <v>107</v>
      </c>
      <c r="C9" t="s">
        <v>89</v>
      </c>
      <c r="Q9">
        <v>42</v>
      </c>
      <c r="R9" t="s">
        <v>78</v>
      </c>
      <c r="S9" t="s">
        <v>135</v>
      </c>
      <c r="U9">
        <v>42</v>
      </c>
      <c r="V9" t="s">
        <v>78</v>
      </c>
      <c r="W9" t="s">
        <v>149</v>
      </c>
      <c r="Y9">
        <v>48</v>
      </c>
      <c r="Z9" t="s">
        <v>78</v>
      </c>
      <c r="AA9" t="s">
        <v>158</v>
      </c>
    </row>
    <row r="10" spans="1:27" x14ac:dyDescent="0.65">
      <c r="A10" t="s">
        <v>90</v>
      </c>
      <c r="B10" t="s">
        <v>107</v>
      </c>
      <c r="C10" t="s">
        <v>91</v>
      </c>
      <c r="Q10">
        <v>36</v>
      </c>
      <c r="R10" t="s">
        <v>78</v>
      </c>
      <c r="S10" t="s">
        <v>134</v>
      </c>
      <c r="U10">
        <v>45</v>
      </c>
      <c r="V10" t="s">
        <v>78</v>
      </c>
      <c r="W10" t="s">
        <v>150</v>
      </c>
      <c r="Y10">
        <v>60</v>
      </c>
      <c r="Z10" t="s">
        <v>78</v>
      </c>
      <c r="AA10" t="s">
        <v>159</v>
      </c>
    </row>
    <row r="11" spans="1:27" x14ac:dyDescent="0.65">
      <c r="A11" t="s">
        <v>92</v>
      </c>
      <c r="B11" t="s">
        <v>107</v>
      </c>
      <c r="C11" t="s">
        <v>93</v>
      </c>
      <c r="Q11">
        <v>30</v>
      </c>
      <c r="R11" t="s">
        <v>78</v>
      </c>
      <c r="S11" t="s">
        <v>133</v>
      </c>
      <c r="U11">
        <v>48</v>
      </c>
      <c r="V11" t="s">
        <v>78</v>
      </c>
      <c r="W11" t="s">
        <v>151</v>
      </c>
      <c r="Y11">
        <v>80</v>
      </c>
      <c r="Z11" t="s">
        <v>78</v>
      </c>
      <c r="AA11" t="s">
        <v>160</v>
      </c>
    </row>
    <row r="12" spans="1:27" x14ac:dyDescent="0.65">
      <c r="A12" t="s">
        <v>94</v>
      </c>
      <c r="B12" t="s">
        <v>107</v>
      </c>
      <c r="C12" t="s">
        <v>95</v>
      </c>
      <c r="Q12">
        <v>27</v>
      </c>
      <c r="R12" t="s">
        <v>78</v>
      </c>
      <c r="S12" t="s">
        <v>132</v>
      </c>
      <c r="Y12">
        <v>100</v>
      </c>
      <c r="Z12" t="s">
        <v>78</v>
      </c>
      <c r="AA12" t="s">
        <v>161</v>
      </c>
    </row>
    <row r="13" spans="1:27" x14ac:dyDescent="0.65">
      <c r="A13" t="s">
        <v>96</v>
      </c>
      <c r="B13" t="s">
        <v>107</v>
      </c>
      <c r="C13" t="s">
        <v>97</v>
      </c>
      <c r="Q13">
        <v>24</v>
      </c>
      <c r="R13" t="s">
        <v>78</v>
      </c>
      <c r="S13" t="s">
        <v>131</v>
      </c>
      <c r="Y13">
        <v>120</v>
      </c>
      <c r="Z13" t="s">
        <v>78</v>
      </c>
      <c r="AA13" t="s">
        <v>162</v>
      </c>
    </row>
    <row r="14" spans="1:27" x14ac:dyDescent="0.65">
      <c r="A14" t="s">
        <v>98</v>
      </c>
      <c r="B14" t="s">
        <v>107</v>
      </c>
      <c r="C14" t="s">
        <v>99</v>
      </c>
      <c r="Q14">
        <v>21</v>
      </c>
      <c r="R14" t="s">
        <v>78</v>
      </c>
      <c r="S14" t="s">
        <v>130</v>
      </c>
    </row>
    <row r="15" spans="1:27" x14ac:dyDescent="0.65">
      <c r="A15" t="s">
        <v>100</v>
      </c>
      <c r="B15" t="s">
        <v>107</v>
      </c>
      <c r="C15" t="s">
        <v>101</v>
      </c>
      <c r="Q15">
        <v>18</v>
      </c>
      <c r="R15" t="s">
        <v>78</v>
      </c>
      <c r="S15" t="s">
        <v>129</v>
      </c>
    </row>
    <row r="16" spans="1:27" x14ac:dyDescent="0.65">
      <c r="A16" t="s">
        <v>102</v>
      </c>
      <c r="B16" t="s">
        <v>107</v>
      </c>
      <c r="C16" t="s">
        <v>103</v>
      </c>
    </row>
  </sheetData>
  <phoneticPr fontId="1"/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J-CAT</vt:lpstr>
      <vt:lpstr>【【単一入力】】</vt:lpstr>
      <vt:lpstr>【【複数入力】】</vt:lpstr>
      <vt:lpstr>【【転記先マップ】】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宇佐美孝明</dc:creator>
  <cp:lastModifiedBy>宇佐美孝明</cp:lastModifiedBy>
  <dcterms:created xsi:type="dcterms:W3CDTF">2025-02-14T04:57:55Z</dcterms:created>
  <dcterms:modified xsi:type="dcterms:W3CDTF">2025-02-28T13:42:11Z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0x01010042B55A51E46879438A41F695E5D0544C</vt:lpwstr>
  </property>
</Properties>
</file>